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README" sheetId="1" state="visible" r:id="rId3"/>
    <sheet name="02_Cleaning_Rules" sheetId="2" state="visible" r:id="rId4"/>
    <sheet name="03_Cleaned_Sample" sheetId="3" state="visible" r:id="rId5"/>
    <sheet name="04_Q1_CSAT_Channel" sheetId="4" state="visible" r:id="rId6"/>
    <sheet name="05_Q1_CSAT_Centre" sheetId="5" state="visible" r:id="rId7"/>
    <sheet name="06_Q2_Cost_Channel" sheetId="6" state="visible" r:id="rId8"/>
    <sheet name="07_Q2_Deflection" sheetId="7" state="visible" r:id="rId9"/>
    <sheet name="08_Q3_NPS_Churn" sheetId="8" state="visible" r:id="rId10"/>
    <sheet name="09_Q3_Tier_Churn" sheetId="9" state="visible" r:id="rId11"/>
    <sheet name="10_Q3_Churn_Reasons" sheetId="10" state="visible" r:id="rId12"/>
    <sheet name="11_Q4_Interventions" sheetId="11" state="visible" r:id="rId13"/>
    <sheet name="12_Stakeholder_Summary" sheetId="12" state="visible" r:id="rId14"/>
    <sheet name="13_Validation" sheetId="13" state="visible" r:id="rId15"/>
    <sheet name="14_Final_Outputs" sheetId="14" state="visible" r:id="rId16"/>
    <sheet name="15_Source_Ticket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<sst xmlns="http://schemas.openxmlformats.org/spreadsheetml/2006/main" count="9210" uniqueCount="2242">
  <si>
    <t xml:space="preserve">SOLUTION PACKAGE · SERIES 02 · PROJECT 2</t>
  </si>
  <si>
    <t xml:space="preserve">SoundWave Audio Co. — Solution Workbook</t>
  </si>
  <si>
    <t xml:space="preserve">Q3 FY2025 Customer Support &amp; CRM Analytics · Educational use</t>
  </si>
  <si>
    <t xml:space="preserve">★ How to read this workbook</t>
  </si>
  <si>
    <t xml:space="preserve">Each sheet represents one PRISM analytical step, labelled with its phase. Start at sheet 02 (Cleaning Rules) — the Yes/No string conversion is the most critical data issue in this dataset. Miss it and every SLA/FCR/escalation metric will be wrong. Then follow the numbered sheets in order: data quality → analysis by question → recommendation → stakeholder.</t>
  </si>
  <si>
    <t xml:space="preserve">Sheet map</t>
  </si>
  <si>
    <t xml:space="preserve">PRISM Step</t>
  </si>
  <si>
    <t xml:space="preserve">Sheet</t>
  </si>
  <si>
    <t xml:space="preserve">What's in it</t>
  </si>
  <si>
    <t xml:space="preserve">I — Investigate</t>
  </si>
  <si>
    <t xml:space="preserve">02_Cleaning_Rules</t>
  </si>
  <si>
    <t xml:space="preserve">9 documented cleanup rules — especially Yes/No string conversion</t>
  </si>
  <si>
    <t xml:space="preserve">03_Cleaned_Sample</t>
  </si>
  <si>
    <t xml:space="preserve">Sample of 25 cleaned ticket rows with proper boolean coercion visible</t>
  </si>
  <si>
    <t xml:space="preserve">S — Solve</t>
  </si>
  <si>
    <t xml:space="preserve">04_Q1_CSAT_Channel</t>
  </si>
  <si>
    <t xml:space="preserve">CSAT by channel (Email 3.59 insight) + SLA breach by channel</t>
  </si>
  <si>
    <t xml:space="preserve">05_Q1_CSAT_Centre</t>
  </si>
  <si>
    <t xml:space="preserve">BPO 3.67 vs In-house 4.02 — with cost-quality tradeoff</t>
  </si>
  <si>
    <t xml:space="preserve">06_Q2_Cost_Channel</t>
  </si>
  <si>
    <t xml:space="preserve">Cost per ticket by channel (₹389 vs ₹14 — the 27x gap)</t>
  </si>
  <si>
    <t xml:space="preserve">07_Q2_Deflection</t>
  </si>
  <si>
    <t xml:space="preserve">Voice deflection model — ₹8.7L/quarter saving calculation</t>
  </si>
  <si>
    <t xml:space="preserve">08_Q3_NPS_Churn</t>
  </si>
  <si>
    <t xml:space="preserve">Churn rate by NPS bucket (30.7% Detractor vs 4.6% Promoter)</t>
  </si>
  <si>
    <t xml:space="preserve">09_Q3_Tier_Churn</t>
  </si>
  <si>
    <t xml:space="preserve">Tier × SW+ subscription churn matrix (Bronze 25.8% → 12.1%)</t>
  </si>
  <si>
    <t xml:space="preserve">10_Q3_Churn_Reasons</t>
  </si>
  <si>
    <t xml:space="preserve">Churn root cause: Repeated Contact Fatigue = 78%</t>
  </si>
  <si>
    <t xml:space="preserve">M — Measure</t>
  </si>
  <si>
    <t xml:space="preserve">11_Q4_Interventions</t>
  </si>
  <si>
    <t xml:space="preserve">Three Q4 interventions — quantified cost and expected impact</t>
  </si>
  <si>
    <t xml:space="preserve">12_Stakeholder_Summary</t>
  </si>
  <si>
    <t xml:space="preserve">COO / CFO / CX Head / Product one-liner recommendations</t>
  </si>
  <si>
    <t xml:space="preserve">13_Validation</t>
  </si>
  <si>
    <t xml:space="preserve">Cross-checks every key metric against source data</t>
  </si>
  <si>
    <t xml:space="preserve">14_Final_Outputs</t>
  </si>
  <si>
    <t xml:space="preserve">All deck-ready numbers — single source of truth</t>
  </si>
  <si>
    <t xml:space="preserve">Reference</t>
  </si>
  <si>
    <t xml:space="preserve">15_Source_Tickets</t>
  </si>
  <si>
    <t xml:space="preserve">Raw Tickets data (first 500 rows)</t>
  </si>
  <si>
    <t xml:space="preserve">PRISM — applied to support analytics</t>
  </si>
  <si>
    <t xml:space="preserve"> P </t>
  </si>
  <si>
    <t xml:space="preserve">Problem Definition</t>
  </si>
  <si>
    <t xml:space="preserve">Restate business problem. Identify the real decision.</t>
  </si>
  <si>
    <t xml:space="preserve"> R </t>
  </si>
  <si>
    <t xml:space="preserve">Reframe into Data Questions</t>
  </si>
  <si>
    <t xml:space="preserve">Convert fuzzy question into specific data sub-questions.</t>
  </si>
  <si>
    <t xml:space="preserve"> I </t>
  </si>
  <si>
    <t xml:space="preserve">Investigate the Data</t>
  </si>
  <si>
    <t xml:space="preserve">Profile quality. Clean before analysing. 30% of your time.</t>
  </si>
  <si>
    <t xml:space="preserve"> S </t>
  </si>
  <si>
    <t xml:space="preserve">Solve from Multiple Angles</t>
  </si>
  <si>
    <t xml:space="preserve">Decompose by channel, centre type, NPS, tier. Averages hide.</t>
  </si>
  <si>
    <t xml:space="preserve"> M </t>
  </si>
  <si>
    <t xml:space="preserve">Measure Impact and Communicate</t>
  </si>
  <si>
    <t xml:space="preserve">Quantify interventions. Tier to stakeholders.</t>
  </si>
  <si>
    <t xml:space="preserve">Cleaning Rules</t>
  </si>
  <si>
    <t xml:space="preserve">PRISM step: Investigate · most critical — missing these produces silently wrong results</t>
  </si>
  <si>
    <t xml:space="preserve">#</t>
  </si>
  <si>
    <t xml:space="preserve">Rule</t>
  </si>
  <si>
    <t xml:space="preserve">Where It Applies</t>
  </si>
  <si>
    <t xml:space="preserve">What &amp; Why</t>
  </si>
  <si>
    <t xml:space="preserve">Impact</t>
  </si>
  <si>
    <t xml:space="preserve">Convert Yes/No to 1/0 (CRITICAL)</t>
  </si>
  <si>
    <t xml:space="preserve">within_sla, escalated, first_contact_resolution, repeat_contact_flag</t>
  </si>
  <si>
    <t xml:space="preserve">These four columns store 'Yes'/'No' as strings — not booleans. Excel's AVERAGE() treats strings as zero silently, returning wrong values. Use =IF(A2="Yes",1,0) before any aggregation.</t>
  </si>
  <si>
    <t xml:space="preserve">Critical — Email SLA 46.2% looks like 0% without this fix</t>
  </si>
  <si>
    <t xml:space="preserve">Standardize date formats</t>
  </si>
  <si>
    <t xml:space="preserve">Tickets.created_date, CRM.signup_date, Churn_Log.churn_date</t>
  </si>
  <si>
    <t xml:space="preserve">Mixed formats across sheets. Use DATEVALUE() for text-stored dates. Required for any trend or cohort analysis.</t>
  </si>
  <si>
    <t xml:space="preserve">Required for time-series views</t>
  </si>
  <si>
    <t xml:space="preserve">Join Agents → Tickets on agent_id</t>
  </si>
  <si>
    <t xml:space="preserve">Tickets + Agents sheets</t>
  </si>
  <si>
    <t xml:space="preserve">VLOOKUP('Tickets'!agent_id, 'Agents'!A:C, 3, FALSE) to add center_type. Required for BPO vs in-house CSAT comparison. ~3% of ticket agent IDs unmatched — document.</t>
  </si>
  <si>
    <t xml:space="preserve">Required for Q1 centre-type analysis</t>
  </si>
  <si>
    <t xml:space="preserve">Handle null ticket_cost_inr</t>
  </si>
  <si>
    <t xml:space="preserve">Tickets</t>
  </si>
  <si>
    <t xml:space="preserve">~2% null values. Impute with channel median (not mean — median is more robust to outliers). Document imputation rule.</t>
  </si>
  <si>
    <t xml:space="preserve">Minor — affects cost per ticket averages marginally</t>
  </si>
  <si>
    <t xml:space="preserve">Derive NPS bucket if missing</t>
  </si>
  <si>
    <t xml:space="preserve">CRM_Customers</t>
  </si>
  <si>
    <t xml:space="preserve">IF(nps_score&lt;=6,"Detractor",IF(nps_score&lt;=8,"Passive","Promoter")) if nps_bucket column is inconsistent.</t>
  </si>
  <si>
    <t xml:space="preserve">Required for Q3 NPS churn analysis</t>
  </si>
  <si>
    <t xml:space="preserve">Link Churn_Log to CRM for churn flag</t>
  </si>
  <si>
    <t xml:space="preserve">CRM_Customers + Churn_Log</t>
  </si>
  <si>
    <t xml:space="preserve">COUNTIFS to create is_churned column: =IF(COUNTIF('Churn_Log'!customer_id_col, customer_id)&gt;0,1,0)</t>
  </si>
  <si>
    <t xml:space="preserve">Required for churn rate calculations</t>
  </si>
  <si>
    <t xml:space="preserve">Standardize soundwave_plus_subscriber</t>
  </si>
  <si>
    <t xml:space="preserve">Column may have 'Yes'/'No' or 'TRUE'/'FALSE' variants. Normalize to consistent values.</t>
  </si>
  <si>
    <t xml:space="preserve">Required for tier × subscription matrix</t>
  </si>
  <si>
    <t xml:space="preserve">Flag repeat contact customers</t>
  </si>
  <si>
    <t xml:space="preserve">If repeat_contact_flag is unreliable, validate: =IF(COUNTIFS(customer_id, customer_id, ticket_id, "&lt;&gt;"&amp;ticket_id) &gt; 0, 1, 0) — counts distinct tickets per customer.</t>
  </si>
  <si>
    <t xml:space="preserve">Required for repeat contact rate calculation</t>
  </si>
  <si>
    <t xml:space="preserve">Document every rule</t>
  </si>
  <si>
    <t xml:space="preserve">This sheet</t>
  </si>
  <si>
    <t xml:space="preserve">CFO will challenge your Email SLA number. This sheet is the proof you computed it correctly.</t>
  </si>
  <si>
    <t xml:space="preserve">Always required</t>
  </si>
  <si>
    <t xml:space="preserve">Cleaned Ticket Sample (25 rows)</t>
  </si>
  <si>
    <t xml:space="preserve">Showing Yes/No → 1/0 conversion in action — the most critical cleaning step</t>
  </si>
  <si>
    <t xml:space="preserve">◆ The Yes/No coercion columns (columns G-J)</t>
  </si>
  <si>
    <t xml:space="preserve">Columns G-J show the cleaned 1/0 versions of the boolean columns. Compare column D (raw 'Yes'/'No') with column G (cleaned 1/0). Without this conversion, AVERAGEIF on within_sla returns 0% for all channels — the silent failure mode that costs students 15-20% of their grade.</t>
  </si>
  <si>
    <t xml:space="preserve">ticket_id</t>
  </si>
  <si>
    <t xml:space="preserve">channel</t>
  </si>
  <si>
    <t xml:space="preserve">call_center</t>
  </si>
  <si>
    <t xml:space="preserve">within_sla (raw)</t>
  </si>
  <si>
    <t xml:space="preserve">csat_score</t>
  </si>
  <si>
    <t xml:space="preserve">ticket_cost (₹)</t>
  </si>
  <si>
    <t xml:space="preserve">within_sla (1/0)</t>
  </si>
  <si>
    <t xml:space="preserve">escalated (1/0)</t>
  </si>
  <si>
    <t xml:space="preserve">SW-TKT-05000000</t>
  </si>
  <si>
    <t xml:space="preserve">WhatsApp</t>
  </si>
  <si>
    <t xml:space="preserve">Pune Outsourced</t>
  </si>
  <si>
    <t xml:space="preserve">Yes</t>
  </si>
  <si>
    <t xml:space="preserve">SW-TKT-05000001</t>
  </si>
  <si>
    <t xml:space="preserve">Chat</t>
  </si>
  <si>
    <t xml:space="preserve">Mumbai Hub</t>
  </si>
  <si>
    <t xml:space="preserve">SW-TKT-05000002</t>
  </si>
  <si>
    <t xml:space="preserve">Voice Call</t>
  </si>
  <si>
    <t xml:space="preserve">SW-TKT-05000003</t>
  </si>
  <si>
    <t xml:space="preserve">Bangalore Hub</t>
  </si>
  <si>
    <t xml:space="preserve">SW-TKT-05000004</t>
  </si>
  <si>
    <t xml:space="preserve">SW-TKT-05000005</t>
  </si>
  <si>
    <t xml:space="preserve">Email</t>
  </si>
  <si>
    <t xml:space="preserve">No</t>
  </si>
  <si>
    <t xml:space="preserve">SW-TKT-05000006</t>
  </si>
  <si>
    <t xml:space="preserve">SW-TKT-05000007</t>
  </si>
  <si>
    <t xml:space="preserve">Hyderabad Outsourc</t>
  </si>
  <si>
    <t xml:space="preserve">SW-TKT-05000008</t>
  </si>
  <si>
    <t xml:space="preserve">Chandigarh Outsour</t>
  </si>
  <si>
    <t xml:space="preserve">SW-TKT-05000009</t>
  </si>
  <si>
    <t xml:space="preserve">SW-TKT-05000010</t>
  </si>
  <si>
    <t xml:space="preserve">SW-TKT-05000011</t>
  </si>
  <si>
    <t xml:space="preserve">Self-Serve Bot</t>
  </si>
  <si>
    <t xml:space="preserve">SW-TKT-05000012</t>
  </si>
  <si>
    <t xml:space="preserve">SW-TKT-05000013</t>
  </si>
  <si>
    <t xml:space="preserve">SW-TKT-05000014</t>
  </si>
  <si>
    <t xml:space="preserve">SW-TKT-05000015</t>
  </si>
  <si>
    <t xml:space="preserve">SW-TKT-05000016</t>
  </si>
  <si>
    <t xml:space="preserve">SW-TKT-05000017</t>
  </si>
  <si>
    <t xml:space="preserve">SW-TKT-05000018</t>
  </si>
  <si>
    <t xml:space="preserve">SW-TKT-05000019</t>
  </si>
  <si>
    <t xml:space="preserve">SW-TKT-05000020</t>
  </si>
  <si>
    <t xml:space="preserve">SW-TKT-05000021</t>
  </si>
  <si>
    <t xml:space="preserve">SW-TKT-05000022</t>
  </si>
  <si>
    <t xml:space="preserve">SW-TKT-05000023</t>
  </si>
  <si>
    <t xml:space="preserve">SW-TKT-05000024</t>
  </si>
  <si>
    <t xml:space="preserve">Q1: CSAT and SLA by Channel</t>
  </si>
  <si>
    <t xml:space="preserve">Email is the outlier — 3.59 CSAT and 46.2% SLA compliance while every other channel exceeds 90%</t>
  </si>
  <si>
    <t xml:space="preserve">★ The hidden structural failure</t>
  </si>
  <si>
    <t xml:space="preserve">Blended CSAT 3.87 looks marginally below benchmark. Channel decomposition reveals Email alone is broken: 3.59 CSAT (vs 3.90-3.97 for all other channels) and 46.2% SLA compliance (vs 100% for all other channels). This is not a staffing problem — it is a routing and prioritisation failure.</t>
  </si>
  <si>
    <t xml:space="preserve">Channel</t>
  </si>
  <si>
    <t xml:space="preserve">Avg CSAT</t>
  </si>
  <si>
    <t xml:space="preserve">SLA Compliance</t>
  </si>
  <si>
    <t xml:space="preserve">Avg Cost (₹)</t>
  </si>
  <si>
    <t xml:space="preserve">FCR %</t>
  </si>
  <si>
    <t xml:space="preserve">Action</t>
  </si>
  <si>
    <t xml:space="preserve">100.0%</t>
  </si>
  <si>
    <t xml:space="preserve">71.7%</t>
  </si>
  <si>
    <t xml:space="preserve">Expand volume — cheapest + good CSAT</t>
  </si>
  <si>
    <t xml:space="preserve">72.1%</t>
  </si>
  <si>
    <t xml:space="preserve">Deflect 20% to Self-Serve (saves ₹8.7L/Q)</t>
  </si>
  <si>
    <t xml:space="preserve">71.3%</t>
  </si>
  <si>
    <t xml:space="preserve">Expand — low cost, 100% SLA</t>
  </si>
  <si>
    <t xml:space="preserve">72.0%</t>
  </si>
  <si>
    <t xml:space="preserve">Hold — good balance</t>
  </si>
  <si>
    <t xml:space="preserve">46.2%</t>
  </si>
  <si>
    <t xml:space="preserve">CRITICAL — fix routing/priority queue</t>
  </si>
  <si>
    <t xml:space="preserve">BLENDED</t>
  </si>
  <si>
    <t xml:space="preserve">92.6%</t>
  </si>
  <si>
    <t xml:space="preserve">71.9%</t>
  </si>
  <si>
    <t xml:space="preserve">Average hides Email</t>
  </si>
  <si>
    <t xml:space="preserve">Excel formulas used</t>
  </si>
  <si>
    <t xml:space="preserve">CSAT by channel</t>
  </si>
  <si>
    <t xml:space="preserve">AVERAGEIFS(csat_score, channel, "Email") — requires numeric csat_score</t>
  </si>
  <si>
    <t xml:space="preserve">SLA by channel</t>
  </si>
  <si>
    <t xml:space="preserve">AVERAGEIFS(within_sla_clean, channel, "Email") — requires 1/0 column</t>
  </si>
  <si>
    <t xml:space="preserve">Cost by channel</t>
  </si>
  <si>
    <t xml:space="preserve">AVERAGEIFS(ticket_cost_inr, channel, "Email")</t>
  </si>
  <si>
    <t xml:space="preserve">SLA breach rate</t>
  </si>
  <si>
    <t xml:space="preserve">1 - AVERAGEIFS(within_sla_clean, channel, "Email")</t>
  </si>
  <si>
    <t xml:space="preserve">Q1: CSAT and Cost by Call Centre Type</t>
  </si>
  <si>
    <t xml:space="preserve">BPO 3.67 vs In-house 4.02 — the gap is training-addressable, not a sourcing decision</t>
  </si>
  <si>
    <t xml:space="preserve">Centre</t>
  </si>
  <si>
    <t xml:space="preserve">Type</t>
  </si>
  <si>
    <t xml:space="preserve">% of Tickets</t>
  </si>
  <si>
    <t xml:space="preserve">Avg Daily Cost (₹L)</t>
  </si>
  <si>
    <t xml:space="preserve">In-house</t>
  </si>
  <si>
    <t xml:space="preserve">42%</t>
  </si>
  <si>
    <t xml:space="preserve">1.29L</t>
  </si>
  <si>
    <t xml:space="preserve">Benchmark standard</t>
  </si>
  <si>
    <t xml:space="preserve">28%</t>
  </si>
  <si>
    <t xml:space="preserve">1.18L</t>
  </si>
  <si>
    <t xml:space="preserve">Slightly below benchmark — monitor</t>
  </si>
  <si>
    <t xml:space="preserve">Chandigarh Outsourced</t>
  </si>
  <si>
    <t xml:space="preserve">BPO</t>
  </si>
  <si>
    <t xml:space="preserve">12%</t>
  </si>
  <si>
    <t xml:space="preserve">0.97L</t>
  </si>
  <si>
    <t xml:space="preserve">Worst centre — priority for L3 training</t>
  </si>
  <si>
    <t xml:space="preserve">Hyderabad Outsourced</t>
  </si>
  <si>
    <t xml:space="preserve">10%</t>
  </si>
  <si>
    <t xml:space="preserve">BPO — training investment needed</t>
  </si>
  <si>
    <t xml:space="preserve">8%</t>
  </si>
  <si>
    <t xml:space="preserve">In-house Avg</t>
  </si>
  <si>
    <t xml:space="preserve">—</t>
  </si>
  <si>
    <t xml:space="preserve">70%</t>
  </si>
  <si>
    <t xml:space="preserve">1.24L</t>
  </si>
  <si>
    <t xml:space="preserve">Benchmark to match</t>
  </si>
  <si>
    <t xml:space="preserve">BPO Avg</t>
  </si>
  <si>
    <t xml:space="preserve">30%</t>
  </si>
  <si>
    <t xml:space="preserve">0.36 gap vs in-house</t>
  </si>
  <si>
    <t xml:space="preserve">◆ The cost-quality tradeoff</t>
  </si>
  <si>
    <t xml:space="preserve">In-house costs ₹1.24L/day vs BPO ₹0.97L/day — a ₹27K/day (₹1Cr/year) premium. The quality gap (3.65 vs 4.02) is real but training-addressable. L3-trained agents score 4.05. Recommendation: upskill BPO to L3, starting with Chandigarh (worst CSAT). Expected cost: BPO training budget. Expected CSAT lift: +0.2 per centre.</t>
  </si>
  <si>
    <t xml:space="preserve">Q2: Cost Efficiency Analysis</t>
  </si>
  <si>
    <t xml:space="preserve">Voice costs 27x more per ticket than Self-Serve — with no quality premium</t>
  </si>
  <si>
    <t xml:space="preserve">% Volume</t>
  </si>
  <si>
    <t xml:space="preserve">CSAT</t>
  </si>
  <si>
    <t xml:space="preserve">Implication</t>
  </si>
  <si>
    <t xml:space="preserve">Cheapest — expand. CSAT above Voice.</t>
  </si>
  <si>
    <t xml:space="preserve">Cost-effective — grow volume</t>
  </si>
  <si>
    <t xml:space="preserve">25%</t>
  </si>
  <si>
    <t xml:space="preserve">Good balance — hold</t>
  </si>
  <si>
    <t xml:space="preserve">19%</t>
  </si>
  <si>
    <t xml:space="preserve">Fix SLA before optimising cost</t>
  </si>
  <si>
    <t xml:space="preserve">36%</t>
  </si>
  <si>
    <t xml:space="preserve">Most expensive — deflect 20% to Self-Serve</t>
  </si>
  <si>
    <t xml:space="preserve">TOTAL / BLENDED</t>
  </si>
  <si>
    <t xml:space="preserve">100%</t>
  </si>
  <si>
    <t xml:space="preserve">Average hides the 27x range</t>
  </si>
  <si>
    <t xml:space="preserve">◆ The 27x gap in context</t>
  </si>
  <si>
    <t xml:space="preserve">Voice CSAT (3.93) is actually below Self-Serve CSAT (3.97). There is no quality premium for the 27x cost difference. The case for deflection is straightforward: same or better customer experience, at 4% of the cost. Constraint: Self-Serve can only handle ~56% of ticket types (Product + General queries).</t>
  </si>
  <si>
    <t xml:space="preserve">Q2: Voice Deflection Cost Model</t>
  </si>
  <si>
    <t xml:space="preserve">Shifting 20% of Voice to Self-Serve saves ₹8.7L/quarter — formulas calculate dynamically</t>
  </si>
  <si>
    <t xml:space="preserve">◆ How to use this model</t>
  </si>
  <si>
    <t xml:space="preserve">Change the deflection percentage in cell D11 to test different scenarios. All downstream cells update automatically. This is PRISM step M in action: a quantified, testable recommendation that gives the CFO a precise number.</t>
  </si>
  <si>
    <t xml:space="preserve">ASSUMPTIONS</t>
  </si>
  <si>
    <t xml:space="preserve">Total Voice tickets/quarter</t>
  </si>
  <si>
    <t xml:space="preserve">Target deflection %</t>
  </si>
  <si>
    <t xml:space="preserve">Eligible ticket % (Product + General)</t>
  </si>
  <si>
    <t xml:space="preserve">Effective deflection %</t>
  </si>
  <si>
    <t xml:space="preserve">Voice cost per ticket (₹)</t>
  </si>
  <si>
    <t xml:space="preserve">Self-Serve cost per ticket (₹)</t>
  </si>
  <si>
    <t xml:space="preserve">Voice CSAT</t>
  </si>
  <si>
    <t xml:space="preserve">Self-Serve CSAT</t>
  </si>
  <si>
    <t xml:space="preserve">MODEL OUTPUT</t>
  </si>
  <si>
    <t xml:space="preserve">Tickets deflected</t>
  </si>
  <si>
    <t xml:space="preserve">Cost saving per quarter (₹)</t>
  </si>
  <si>
    <t xml:space="preserve">Cost saving per year (₹)</t>
  </si>
  <si>
    <t xml:space="preserve">CSAT change</t>
  </si>
  <si>
    <t xml:space="preserve">Recommendation</t>
  </si>
  <si>
    <t xml:space="preserve">Proceed — no CSAT penalty</t>
  </si>
  <si>
    <t xml:space="preserve">Q3: NPS × Churn Correlation</t>
  </si>
  <si>
    <t xml:space="preserve">Detractors churn at 7x the rate of Promoters — the most important churn insight</t>
  </si>
  <si>
    <t xml:space="preserve">NPS Bucket</t>
  </si>
  <si>
    <t xml:space="preserve">% of Base</t>
  </si>
  <si>
    <t xml:space="preserve">Churn Rate</t>
  </si>
  <si>
    <t xml:space="preserve">vs Promoter</t>
  </si>
  <si>
    <t xml:space="preserve">Interpretation</t>
  </si>
  <si>
    <t xml:space="preserve">Detractor (0-6)</t>
  </si>
  <si>
    <t xml:space="preserve">31.3%</t>
  </si>
  <si>
    <t xml:space="preserve">30.7%</t>
  </si>
  <si>
    <t xml:space="preserve">Priority for intervention — 1 in 3 will churn</t>
  </si>
  <si>
    <t xml:space="preserve">Passive (7-8)</t>
  </si>
  <si>
    <t xml:space="preserve">37.0%</t>
  </si>
  <si>
    <t xml:space="preserve">12.6%</t>
  </si>
  <si>
    <t xml:space="preserve">Watch and improve — 2.7x churn risk</t>
  </si>
  <si>
    <t xml:space="preserve">Promoter (9-10)</t>
  </si>
  <si>
    <t xml:space="preserve">31.7%</t>
  </si>
  <si>
    <t xml:space="preserve">4.6%</t>
  </si>
  <si>
    <t xml:space="preserve">1.0x</t>
  </si>
  <si>
    <t xml:space="preserve">Protect — these are advocates</t>
  </si>
  <si>
    <t xml:space="preserve">★ The 7x multiple — and what it means in practice</t>
  </si>
  <si>
    <t xml:space="preserve">31.3% of the customer base are Detractors, each churning at 30.7%. If you could convert just 10% of Detractors to Passive, that alone prevents ~250 churns × avg LTV ₹4,428 = ₹1.1L in retained revenue. NPS is not a satisfaction vanity metric — it is a churn-prediction tool.</t>
  </si>
  <si>
    <t xml:space="preserve">Q3: Churn by Tier × SW+ Subscription</t>
  </si>
  <si>
    <t xml:space="preserve">SW+ subscription halves churn in Bronze — the most actionable retention insight</t>
  </si>
  <si>
    <t xml:space="preserve">Tier</t>
  </si>
  <si>
    <t xml:space="preserve">No SW+ Churn</t>
  </si>
  <si>
    <t xml:space="preserve">With SW+ Churn</t>
  </si>
  <si>
    <t xml:space="preserve">Reduction</t>
  </si>
  <si>
    <t xml:space="preserve">Strategic Implication</t>
  </si>
  <si>
    <t xml:space="preserve">Bronze</t>
  </si>
  <si>
    <t xml:space="preserve">Priority — SW+ trial for at-risk Bronze reduces churn by ~53%</t>
  </si>
  <si>
    <t xml:space="preserve">Silver</t>
  </si>
  <si>
    <t xml:space="preserve">SW+ reduces risk ~51% — target near-churn Silvers</t>
  </si>
  <si>
    <t xml:space="preserve">Gold</t>
  </si>
  <si>
    <t xml:space="preserve">Strong protective effect — maintain subscription offers</t>
  </si>
  <si>
    <t xml:space="preserve">Platinum</t>
  </si>
  <si>
    <t xml:space="preserve">Already low — subscription marginal here</t>
  </si>
  <si>
    <t xml:space="preserve">Q3: Churn Root Cause Analysis</t>
  </si>
  <si>
    <t xml:space="preserve">Repeated Contact Fatigue drives 78% of churns — the root cause is an ops quality problem</t>
  </si>
  <si>
    <t xml:space="preserve">Churn Reason</t>
  </si>
  <si>
    <t xml:space="preserve">Churned Customers</t>
  </si>
  <si>
    <t xml:space="preserve">% of Total Churns</t>
  </si>
  <si>
    <t xml:space="preserve">Intervention</t>
  </si>
  <si>
    <t xml:space="preserve">Repeated Contact Fatigue</t>
  </si>
  <si>
    <t xml:space="preserve">78.2%</t>
  </si>
  <si>
    <t xml:space="preserve">Reduce repeat contacts — fix FCR, improve first-response quality</t>
  </si>
  <si>
    <t xml:space="preserve">General Dissatisfaction</t>
  </si>
  <si>
    <t xml:space="preserve">16.7%</t>
  </si>
  <si>
    <t xml:space="preserve">BPO training + Email SLA fix reduces dissatisfaction</t>
  </si>
  <si>
    <t xml:space="preserve">Unresolved Escalation</t>
  </si>
  <si>
    <t xml:space="preserve">3.2%</t>
  </si>
  <si>
    <t xml:space="preserve">Escalation resolution rate and follow-through improvement</t>
  </si>
  <si>
    <t xml:space="preserve">Slow Response Times</t>
  </si>
  <si>
    <t xml:space="preserve">0.6%</t>
  </si>
  <si>
    <t xml:space="preserve">Email SLA fix — primary slow-response channel</t>
  </si>
  <si>
    <t xml:space="preserve">Poor Service Experience</t>
  </si>
  <si>
    <t xml:space="preserve">Agent quality programme — L3 training for BPO centres</t>
  </si>
  <si>
    <t xml:space="preserve">TOTAL</t>
  </si>
  <si>
    <t xml:space="preserve">Root cause analysis enables targeted, not scattered intervention</t>
  </si>
  <si>
    <t xml:space="preserve">★ The 24-day churn signal</t>
  </si>
  <si>
    <t xml:space="preserve">Churn_Log shows avg days-to-churn from last ticket = 24 days. Avg tickets in 90 days before churn = 4.8 tickets. INSIGHT: customers with 5+ tickets in 90 days are at high churn risk within 30 days. This is the operational trigger for the Churn-Risk Score feature set.</t>
  </si>
  <si>
    <t xml:space="preserve">Q4: Recommended Interventions</t>
  </si>
  <si>
    <t xml:space="preserve">PRISM step: Measure · Three interventions — each quantified</t>
  </si>
  <si>
    <t xml:space="preserve">Timeline</t>
  </si>
  <si>
    <t xml:space="preserve">Investment</t>
  </si>
  <si>
    <t xml:space="preserve">Expected Impact</t>
  </si>
  <si>
    <t xml:space="preserve">Confidence</t>
  </si>
  <si>
    <t xml:space="preserve">Fix Email SLA routing</t>
  </si>
  <si>
    <t xml:space="preserve">30-day sprint</t>
  </si>
  <si>
    <t xml:space="preserve">Dev + ops — estimate ₹5-15L</t>
  </si>
  <si>
    <t xml:space="preserve">Email CSAT: 3.59 → ~3.90. Reduces ~5% of churn in Passive segment.</t>
  </si>
  <si>
    <t xml:space="preserve">High — structural fix</t>
  </si>
  <si>
    <t xml:space="preserve">Voice → Self-Serve deflection (20%)</t>
  </si>
  <si>
    <t xml:space="preserve">Q4 pilot</t>
  </si>
  <si>
    <t xml:space="preserve">Bot expansion cost (minimal)</t>
  </si>
  <si>
    <t xml:space="preserve">Saves ₹8.7L/quarter. CSAT held or improved. See sheet 07 for full model.</t>
  </si>
  <si>
    <t xml:space="preserve">High — model validated</t>
  </si>
  <si>
    <t xml:space="preserve">Churn-Risk Intervention for top-200</t>
  </si>
  <si>
    <t xml:space="preserve">60-day programme</t>
  </si>
  <si>
    <t xml:space="preserve">CS team time + SW+ trial cost</t>
  </si>
  <si>
    <t xml:space="preserve">Top-200 at-risk: ~₹1.7L LTV at risk. If 30% recovered: ~₹51K LTV saved. SW+ trial converts ~40% to subscribers.</t>
  </si>
  <si>
    <t xml:space="preserve">Medium — untested programme</t>
  </si>
  <si>
    <t xml:space="preserve">Stakeholder-Tiered Summary</t>
  </si>
  <si>
    <t xml:space="preserve">Same data, four readings — the senior-analyst differentiator</t>
  </si>
  <si>
    <t xml:space="preserve">Role</t>
  </si>
  <si>
    <t xml:space="preserve">Concern</t>
  </si>
  <si>
    <t xml:space="preserve">One-liner Recommendation</t>
  </si>
  <si>
    <t xml:space="preserve">COO</t>
  </si>
  <si>
    <t xml:space="preserve">Support operations</t>
  </si>
  <si>
    <t xml:space="preserve">Fix three structural problems in Q4: Email SLA routing (30-day sprint), Voice→Self-Serve deflection (saves ₹8.7L/quarter), and churn-risk intervention for the top-200 at-risk customers. Expected Q4 CSAT: 3.95+.</t>
  </si>
  <si>
    <t xml:space="preserve">CFO</t>
  </si>
  <si>
    <t xml:space="preserve">Voice deflection saves ₹8.7L/quarter (₹34.8L/year) with no CSAT penalty. Email SLA fix is a dev investment — estimated ₹5-15L against ₹Y in LTV saved from reduced Passive-segment churn. Churn-risk programme: ₹33L LTV at risk from Detractors alone.</t>
  </si>
  <si>
    <t xml:space="preserve">CX Head</t>
  </si>
  <si>
    <t xml:space="preserve">BPO CSAT gap (3.65 vs 4.01) is training-addressable. L3 agents score 4.05 vs L1 at 3.83. Upskill BPO to L3, starting with Chandigarh (3.59 CSAT). FCR at 71.9% vs 75% benchmark — each 1pp FCR improvement = ~320 fewer repeat contacts/quarter.</t>
  </si>
  <si>
    <t xml:space="preserve">Product</t>
  </si>
  <si>
    <t xml:space="preserve">Product tickets = 51% of volume. Investigate whether product UX issues drive avoidable contacts. 10% reduction in Product ticket volume through UX improvement = 1,600 fewer tickets/quarter at ₹229 avg cost = ₹3.7L/quarter saving.</t>
  </si>
  <si>
    <t xml:space="preserve">Validation — Cross-checking the Numbers</t>
  </si>
  <si>
    <t xml:space="preserve">Every claim in the deck has a source.</t>
  </si>
  <si>
    <t xml:space="preserve">Claim</t>
  </si>
  <si>
    <t xml:space="preserve">Source</t>
  </si>
  <si>
    <t xml:space="preserve">Computation</t>
  </si>
  <si>
    <t xml:space="preserve">Result</t>
  </si>
  <si>
    <t xml:space="preserve">Verified</t>
  </si>
  <si>
    <t xml:space="preserve">Overall CSAT = 3.87</t>
  </si>
  <si>
    <t xml:space="preserve">AVERAGE(csat_score)</t>
  </si>
  <si>
    <t xml:space="preserve">3.87</t>
  </si>
  <si>
    <t xml:space="preserve">✓</t>
  </si>
  <si>
    <t xml:space="preserve">Email CSAT = 3.59</t>
  </si>
  <si>
    <t xml:space="preserve">AVERAGEIFS by channel</t>
  </si>
  <si>
    <t xml:space="preserve">3.59</t>
  </si>
  <si>
    <t xml:space="preserve">Email SLA = 46.2% compliance</t>
  </si>
  <si>
    <t xml:space="preserve">Tickets (cleaned)</t>
  </si>
  <si>
    <t xml:space="preserve">AVERAGEIFS within_sla_1_0</t>
  </si>
  <si>
    <t xml:space="preserve">✓ — requires Yes/No coercion</t>
  </si>
  <si>
    <t xml:space="preserve">Voice cost ₹389/ticket</t>
  </si>
  <si>
    <t xml:space="preserve">AVERAGEIFS ticket_cost</t>
  </si>
  <si>
    <t xml:space="preserve">₹389</t>
  </si>
  <si>
    <t xml:space="preserve">Self-Serve cost ₹14/ticket</t>
  </si>
  <si>
    <t xml:space="preserve">₹14</t>
  </si>
  <si>
    <t xml:space="preserve">✓ — 27x ratio confirmed</t>
  </si>
  <si>
    <t xml:space="preserve">Detractor churn 30.7%</t>
  </si>
  <si>
    <t xml:space="preserve">CRM + Churn_Log</t>
  </si>
  <si>
    <t xml:space="preserve">COUNTIFS churned/total Detractor</t>
  </si>
  <si>
    <t xml:space="preserve">Promoter churn 4.6%</t>
  </si>
  <si>
    <t xml:space="preserve">COUNTIFS churned/total Promoter</t>
  </si>
  <si>
    <t xml:space="preserve">✓ — 7x ratio confirmed</t>
  </si>
  <si>
    <t xml:space="preserve">Bronze (no SW+) churn 25.8%</t>
  </si>
  <si>
    <t xml:space="preserve">tier×subscription pivot</t>
  </si>
  <si>
    <t xml:space="preserve">25.8%</t>
  </si>
  <si>
    <t xml:space="preserve">Repeat contact root cause 78%</t>
  </si>
  <si>
    <t xml:space="preserve">Churn_Log</t>
  </si>
  <si>
    <t xml:space="preserve">COUNTIF reason_category</t>
  </si>
  <si>
    <t xml:space="preserve">985/1260</t>
  </si>
  <si>
    <t xml:space="preserve">Voice deflection saves ₹8.7L</t>
  </si>
  <si>
    <t xml:space="preserve">Model (sheet 07)</t>
  </si>
  <si>
    <t xml:space="preserve">2311 tickets × (₹389-₹14)</t>
  </si>
  <si>
    <t xml:space="preserve">₹8.7L</t>
  </si>
  <si>
    <t xml:space="preserve">Model — validate Q4</t>
  </si>
  <si>
    <t xml:space="preserve">Final Outputs — Deck-Ready Numbers</t>
  </si>
  <si>
    <t xml:space="preserve">Every number in the Solution Deck. Single source of truth.</t>
  </si>
  <si>
    <t xml:space="preserve">Metric</t>
  </si>
  <si>
    <t xml:space="preserve">Value</t>
  </si>
  <si>
    <t xml:space="preserve">Slide Reference</t>
  </si>
  <si>
    <t xml:space="preserve">Overall metrics</t>
  </si>
  <si>
    <t xml:space="preserve">Overall CSAT</t>
  </si>
  <si>
    <t xml:space="preserve">Slide 2, Slide 6</t>
  </si>
  <si>
    <t xml:space="preserve">Email CSAT</t>
  </si>
  <si>
    <t xml:space="preserve">Slide 6</t>
  </si>
  <si>
    <t xml:space="preserve">Email SLA compliance</t>
  </si>
  <si>
    <t xml:space="preserve">Slide 6 (53.8% breach)</t>
  </si>
  <si>
    <t xml:space="preserve">In-house CSAT</t>
  </si>
  <si>
    <t xml:space="preserve">4.02</t>
  </si>
  <si>
    <t xml:space="preserve">Slide 7</t>
  </si>
  <si>
    <t xml:space="preserve">BPO CSAT</t>
  </si>
  <si>
    <t xml:space="preserve">3.67</t>
  </si>
  <si>
    <t xml:space="preserve">Channel cost — Voice</t>
  </si>
  <si>
    <t xml:space="preserve">Slides 6, 12</t>
  </si>
  <si>
    <t xml:space="preserve">Channel cost — Self-Serve</t>
  </si>
  <si>
    <t xml:space="preserve">Cost ratio Voice/Self-Serve</t>
  </si>
  <si>
    <t xml:space="preserve">27x</t>
  </si>
  <si>
    <t xml:space="preserve">Slide 2</t>
  </si>
  <si>
    <t xml:space="preserve">NPS / Churn</t>
  </si>
  <si>
    <t xml:space="preserve">Detractor % of base</t>
  </si>
  <si>
    <t xml:space="preserve">Slide 8</t>
  </si>
  <si>
    <t xml:space="preserve">Passive % of base</t>
  </si>
  <si>
    <t xml:space="preserve">Promoter % of base</t>
  </si>
  <si>
    <t xml:space="preserve">Detractor churn rate</t>
  </si>
  <si>
    <t xml:space="preserve">Passive churn rate</t>
  </si>
  <si>
    <t xml:space="preserve">Promoter churn rate</t>
  </si>
  <si>
    <t xml:space="preserve">Detractor vs Promoter churn</t>
  </si>
  <si>
    <t xml:space="preserve">7x</t>
  </si>
  <si>
    <t xml:space="preserve">Slide 2, Slide 8</t>
  </si>
  <si>
    <t xml:space="preserve">Tier churn</t>
  </si>
  <si>
    <t xml:space="preserve">Bronze (no SW+) churn</t>
  </si>
  <si>
    <t xml:space="preserve">Slide 9</t>
  </si>
  <si>
    <t xml:space="preserve">Bronze (with SW+) churn</t>
  </si>
  <si>
    <t xml:space="preserve">12.1%</t>
  </si>
  <si>
    <t xml:space="preserve">Subscription churn reduction</t>
  </si>
  <si>
    <t xml:space="preserve">~50%</t>
  </si>
  <si>
    <t xml:space="preserve">Root causes</t>
  </si>
  <si>
    <t xml:space="preserve">Repeat contact root cause</t>
  </si>
  <si>
    <t xml:space="preserve">78%</t>
  </si>
  <si>
    <t xml:space="preserve">Slide 10</t>
  </si>
  <si>
    <t xml:space="preserve">Total churned customers</t>
  </si>
  <si>
    <t xml:space="preserve">1,260</t>
  </si>
  <si>
    <t xml:space="preserve">Days to churn from last ticket</t>
  </si>
  <si>
    <t xml:space="preserve">24 days</t>
  </si>
  <si>
    <t xml:space="preserve">Tickets in 90d before churn</t>
  </si>
  <si>
    <t xml:space="preserve">4.8</t>
  </si>
  <si>
    <t xml:space="preserve">Q4 recommendations</t>
  </si>
  <si>
    <t xml:space="preserve">Voice deflection saving/quarter</t>
  </si>
  <si>
    <t xml:space="preserve">Slide 12</t>
  </si>
  <si>
    <t xml:space="preserve">Self-Serve CSAT vs Voice CSAT</t>
  </si>
  <si>
    <t xml:space="preserve">3.97 vs 3.93</t>
  </si>
  <si>
    <t xml:space="preserve">Expected Q4 CSAT target</t>
  </si>
  <si>
    <t xml:space="preserve">3.95</t>
  </si>
  <si>
    <t xml:space="preserve">Expected churn reduction</t>
  </si>
  <si>
    <t xml:space="preserve">−26%</t>
  </si>
  <si>
    <t xml:space="preserve">REFERENCE — RAW SOURCE DATA</t>
  </si>
  <si>
    <t xml:space="preserve">15 Source Tickets (first 500 rows)</t>
  </si>
  <si>
    <t xml:space="preserve">Raw ticket data — DO NOT EDIT</t>
  </si>
  <si>
    <t xml:space="preserve">customer_id</t>
  </si>
  <si>
    <t xml:space="preserve">customer_name</t>
  </si>
  <si>
    <t xml:space="preserve">created_date</t>
  </si>
  <si>
    <t xml:space="preserve">day_of_week</t>
  </si>
  <si>
    <t xml:space="preserve">product_sku</t>
  </si>
  <si>
    <t xml:space="preserve">product_category</t>
  </si>
  <si>
    <t xml:space="preserve">reason</t>
  </si>
  <si>
    <t xml:space="preserve">reason_category</t>
  </si>
  <si>
    <t xml:space="preserve">agent_id</t>
  </si>
  <si>
    <t xml:space="preserve">first_response_seconds</t>
  </si>
  <si>
    <t xml:space="preserve">resolution_time_hours</t>
  </si>
  <si>
    <t xml:space="preserve">avg_handle_time_min</t>
  </si>
  <si>
    <t xml:space="preserve">within_sla</t>
  </si>
  <si>
    <t xml:space="preserve">first_contact_resolution</t>
  </si>
  <si>
    <t xml:space="preserve">escalated</t>
  </si>
  <si>
    <t xml:space="preserve">sentiment</t>
  </si>
  <si>
    <t xml:space="preserve">repeat_contact_flag</t>
  </si>
  <si>
    <t xml:space="preserve">ticket_cost_inr</t>
  </si>
  <si>
    <t xml:space="preserve">SW-CU-106957</t>
  </si>
  <si>
    <t xml:space="preserve">Megha Nair</t>
  </si>
  <si>
    <t xml:space="preserve">2025-07-30</t>
  </si>
  <si>
    <t xml:space="preserve">Wednesday</t>
  </si>
  <si>
    <t xml:space="preserve">SW-EB-001</t>
  </si>
  <si>
    <t xml:space="preserve">Earbuds</t>
  </si>
  <si>
    <t xml:space="preserve">Warranty Claim</t>
  </si>
  <si>
    <t xml:space="preserve">Warranty</t>
  </si>
  <si>
    <t xml:space="preserve">AG-0094</t>
  </si>
  <si>
    <t xml:space="preserve">Positive</t>
  </si>
  <si>
    <t xml:space="preserve">SW-CU-101168</t>
  </si>
  <si>
    <t xml:space="preserve">ishita mehta</t>
  </si>
  <si>
    <t xml:space="preserve">2025-08-21</t>
  </si>
  <si>
    <t xml:space="preserve">Thursday</t>
  </si>
  <si>
    <t xml:space="preserve">Product Defect</t>
  </si>
  <si>
    <t xml:space="preserve">AG-0050</t>
  </si>
  <si>
    <t xml:space="preserve">\N</t>
  </si>
  <si>
    <t xml:space="preserve">Neutral</t>
  </si>
  <si>
    <t xml:space="preserve">SW-CU-106145</t>
  </si>
  <si>
    <t xml:space="preserve">Ritu Bose</t>
  </si>
  <si>
    <t xml:space="preserve">2025-08-25</t>
  </si>
  <si>
    <t xml:space="preserve">Monday</t>
  </si>
  <si>
    <t xml:space="preserve">SW-EB-003</t>
  </si>
  <si>
    <t xml:space="preserve">Refund Status</t>
  </si>
  <si>
    <t xml:space="preserve">Payments</t>
  </si>
  <si>
    <t xml:space="preserve">AG-0085</t>
  </si>
  <si>
    <t xml:space="preserve">Very Positive</t>
  </si>
  <si>
    <t xml:space="preserve">SW-CU-107825</t>
  </si>
  <si>
    <t xml:space="preserve">SWATI MEHTA</t>
  </si>
  <si>
    <t xml:space="preserve">2025-07-12</t>
  </si>
  <si>
    <t xml:space="preserve">Saturday</t>
  </si>
  <si>
    <t xml:space="preserve">SW-AC-001</t>
  </si>
  <si>
    <t xml:space="preserve">Accessory</t>
  </si>
  <si>
    <t xml:space="preserve">AG-0019</t>
  </si>
  <si>
    <t xml:space="preserve">SW-CU-100925</t>
  </si>
  <si>
    <t xml:space="preserve">KARAN AGARWAL</t>
  </si>
  <si>
    <t xml:space="preserve">2025-07-15</t>
  </si>
  <si>
    <t xml:space="preserve">Tuesday</t>
  </si>
  <si>
    <t xml:space="preserve">SW-EB-002</t>
  </si>
  <si>
    <t xml:space="preserve">Sound Quality</t>
  </si>
  <si>
    <t xml:space="preserve">AG-0081</t>
  </si>
  <si>
    <t xml:space="preserve">SW-CU-104022</t>
  </si>
  <si>
    <t xml:space="preserve">Kavya Patel</t>
  </si>
  <si>
    <t xml:space="preserve">2025-08-15</t>
  </si>
  <si>
    <t xml:space="preserve">Friday</t>
  </si>
  <si>
    <t xml:space="preserve">SW-HP-002</t>
  </si>
  <si>
    <t xml:space="preserve">Headphones</t>
  </si>
  <si>
    <t xml:space="preserve">Battery Issue</t>
  </si>
  <si>
    <t xml:space="preserve">AG-0003</t>
  </si>
  <si>
    <t xml:space="preserve">SW-CU-101976</t>
  </si>
  <si>
    <t xml:space="preserve">Deepak Agarwal</t>
  </si>
  <si>
    <t xml:space="preserve">2025-08-06</t>
  </si>
  <si>
    <t xml:space="preserve">AG-0039</t>
  </si>
  <si>
    <t xml:space="preserve">SW-CU-100146</t>
  </si>
  <si>
    <t xml:space="preserve">arjun bhatia</t>
  </si>
  <si>
    <t xml:space="preserve">2025-07-04</t>
  </si>
  <si>
    <t xml:space="preserve">AG-0122</t>
  </si>
  <si>
    <t xml:space="preserve">SW-CU-105793</t>
  </si>
  <si>
    <t xml:space="preserve">Tanvi Patel</t>
  </si>
  <si>
    <t xml:space="preserve">15-08-2025</t>
  </si>
  <si>
    <t xml:space="preserve">SW-HP-001</t>
  </si>
  <si>
    <t xml:space="preserve">AG-0143</t>
  </si>
  <si>
    <t xml:space="preserve">SW-CU-100240</t>
  </si>
  <si>
    <t xml:space="preserve">Karan Shah</t>
  </si>
  <si>
    <t xml:space="preserve">08/11/2025</t>
  </si>
  <si>
    <t xml:space="preserve">AG-0004</t>
  </si>
  <si>
    <t xml:space="preserve">SW-CU-103476</t>
  </si>
  <si>
    <t xml:space="preserve">Suresh Malhotra</t>
  </si>
  <si>
    <t xml:space="preserve">2025-08-24</t>
  </si>
  <si>
    <t xml:space="preserve">Sunday</t>
  </si>
  <si>
    <t xml:space="preserve">Replacement Request</t>
  </si>
  <si>
    <t xml:space="preserve">AG-0025</t>
  </si>
  <si>
    <t xml:space="preserve">SW-CU-102557</t>
  </si>
  <si>
    <t xml:space="preserve">Karan Verma</t>
  </si>
  <si>
    <t xml:space="preserve">2025-09-11</t>
  </si>
  <si>
    <t xml:space="preserve">SW-NB-001</t>
  </si>
  <si>
    <t xml:space="preserve">Neckband</t>
  </si>
  <si>
    <t xml:space="preserve">BOT-0001</t>
  </si>
  <si>
    <t xml:space="preserve">SW-CU-106287</t>
  </si>
  <si>
    <t xml:space="preserve">Ananya Sharma</t>
  </si>
  <si>
    <t xml:space="preserve">2025-08-16</t>
  </si>
  <si>
    <t xml:space="preserve">AG-0092</t>
  </si>
  <si>
    <t xml:space="preserve">SW-CU-101061</t>
  </si>
  <si>
    <t xml:space="preserve">Aarti Agarwal</t>
  </si>
  <si>
    <t xml:space="preserve">2025-09-25</t>
  </si>
  <si>
    <t xml:space="preserve">AG-0159</t>
  </si>
  <si>
    <t xml:space="preserve">SW-CU-100218</t>
  </si>
  <si>
    <t xml:space="preserve">Riya Iyer</t>
  </si>
  <si>
    <t xml:space="preserve">10-08-2025</t>
  </si>
  <si>
    <t xml:space="preserve">SW-SP-001</t>
  </si>
  <si>
    <t xml:space="preserve">Speaker</t>
  </si>
  <si>
    <t xml:space="preserve">Bluetooth Connectivity</t>
  </si>
  <si>
    <t xml:space="preserve">AG-0038</t>
  </si>
  <si>
    <t xml:space="preserve">SW-CU-107192</t>
  </si>
  <si>
    <t xml:space="preserve">Riya Gupta</t>
  </si>
  <si>
    <t xml:space="preserve">2025-09-10</t>
  </si>
  <si>
    <t xml:space="preserve">SW-NB-002</t>
  </si>
  <si>
    <t xml:space="preserve">AG-0007</t>
  </si>
  <si>
    <t xml:space="preserve">SW-CU-100885</t>
  </si>
  <si>
    <t xml:space="preserve">Sanjay Iyer</t>
  </si>
  <si>
    <t xml:space="preserve">2025-07-06</t>
  </si>
  <si>
    <t xml:space="preserve">AG-0009</t>
  </si>
  <si>
    <t xml:space="preserve">SW-CU-104010</t>
  </si>
  <si>
    <t xml:space="preserve">Pranav Verma</t>
  </si>
  <si>
    <t xml:space="preserve">08/23/2025</t>
  </si>
  <si>
    <t xml:space="preserve">SW-CU-102336</t>
  </si>
  <si>
    <t xml:space="preserve">aniket kapoor</t>
  </si>
  <si>
    <t xml:space="preserve">2025-09-13</t>
  </si>
  <si>
    <t xml:space="preserve">AG-0097</t>
  </si>
  <si>
    <t xml:space="preserve">SW-CU-101789</t>
  </si>
  <si>
    <t xml:space="preserve">Gaurav Patel</t>
  </si>
  <si>
    <t xml:space="preserve">05-09-2025</t>
  </si>
  <si>
    <t xml:space="preserve">AG-0062</t>
  </si>
  <si>
    <t xml:space="preserve">SW-CU-106032</t>
  </si>
  <si>
    <t xml:space="preserve">Rahul Chopra</t>
  </si>
  <si>
    <t xml:space="preserve">09/30/2025</t>
  </si>
  <si>
    <t xml:space="preserve">AG-0109</t>
  </si>
  <si>
    <t xml:space="preserve">SW-CU-103670</t>
  </si>
  <si>
    <t xml:space="preserve">Pranav Kapoor</t>
  </si>
  <si>
    <t xml:space="preserve">SW-CU-103805</t>
  </si>
  <si>
    <t xml:space="preserve">Riya Sharma</t>
  </si>
  <si>
    <t xml:space="preserve">2025-07-29</t>
  </si>
  <si>
    <t xml:space="preserve">Other / General Enquiry</t>
  </si>
  <si>
    <t xml:space="preserve">General</t>
  </si>
  <si>
    <t xml:space="preserve">AG-0057</t>
  </si>
  <si>
    <t xml:space="preserve">SW-CU-106340</t>
  </si>
  <si>
    <t xml:space="preserve">Meera Iyer</t>
  </si>
  <si>
    <t xml:space="preserve">16-08-2025</t>
  </si>
  <si>
    <t xml:space="preserve">AG-0052</t>
  </si>
  <si>
    <t xml:space="preserve">SW-CU-106850</t>
  </si>
  <si>
    <t xml:space="preserve">Rahul Nair</t>
  </si>
  <si>
    <t xml:space="preserve">2025-09-03</t>
  </si>
  <si>
    <t xml:space="preserve">AG-0033</t>
  </si>
  <si>
    <t xml:space="preserve">SW-TKT-05000025</t>
  </si>
  <si>
    <t xml:space="preserve">SW-CU-103447</t>
  </si>
  <si>
    <t xml:space="preserve">Nidhi Chopra</t>
  </si>
  <si>
    <t xml:space="preserve">AG-0113</t>
  </si>
  <si>
    <t xml:space="preserve">SW-TKT-05000026</t>
  </si>
  <si>
    <t xml:space="preserve">SW-CU-102733</t>
  </si>
  <si>
    <t xml:space="preserve">Aditya Gupta</t>
  </si>
  <si>
    <t xml:space="preserve">2025-07-16</t>
  </si>
  <si>
    <t xml:space="preserve">SW-TKT-05000027</t>
  </si>
  <si>
    <t xml:space="preserve">SW-CU-100350</t>
  </si>
  <si>
    <t xml:space="preserve">Kritika Iyer</t>
  </si>
  <si>
    <t xml:space="preserve">2025-07-21</t>
  </si>
  <si>
    <t xml:space="preserve">AG-0124</t>
  </si>
  <si>
    <t xml:space="preserve">Negative</t>
  </si>
  <si>
    <t xml:space="preserve">SW-TKT-05000028</t>
  </si>
  <si>
    <t xml:space="preserve">SW-CU-101438</t>
  </si>
  <si>
    <t xml:space="preserve">Saurabh Sharma</t>
  </si>
  <si>
    <t xml:space="preserve">2025-08-31</t>
  </si>
  <si>
    <t xml:space="preserve">AG-0034</t>
  </si>
  <si>
    <t xml:space="preserve">SW-TKT-05000029</t>
  </si>
  <si>
    <t xml:space="preserve">SW-CU-100071</t>
  </si>
  <si>
    <t xml:space="preserve">Suresh Chopra</t>
  </si>
  <si>
    <t xml:space="preserve">22-08-2025</t>
  </si>
  <si>
    <t xml:space="preserve">SW-TKT-05000030</t>
  </si>
  <si>
    <t xml:space="preserve">SW-CU-100049</t>
  </si>
  <si>
    <t xml:space="preserve">Amit Kapoor</t>
  </si>
  <si>
    <t xml:space="preserve">18-08-2025</t>
  </si>
  <si>
    <t xml:space="preserve">AG-0045</t>
  </si>
  <si>
    <t xml:space="preserve">SW-TKT-05000031</t>
  </si>
  <si>
    <t xml:space="preserve">SW-CU-106440</t>
  </si>
  <si>
    <t xml:space="preserve">Ankit Bhatia</t>
  </si>
  <si>
    <t xml:space="preserve">2025-08-29</t>
  </si>
  <si>
    <t xml:space="preserve">SW-TKT-05000032</t>
  </si>
  <si>
    <t xml:space="preserve">SW-CU-101343</t>
  </si>
  <si>
    <t xml:space="preserve">tanvi sharma</t>
  </si>
  <si>
    <t xml:space="preserve">07/09/2025</t>
  </si>
  <si>
    <t xml:space="preserve">AG-0075</t>
  </si>
  <si>
    <t xml:space="preserve">SW-TKT-05000033</t>
  </si>
  <si>
    <t xml:space="preserve">SW-CU-100138</t>
  </si>
  <si>
    <t xml:space="preserve">Amit Malhotra</t>
  </si>
  <si>
    <t xml:space="preserve">26-09-2025</t>
  </si>
  <si>
    <t xml:space="preserve">Damaged in Transit</t>
  </si>
  <si>
    <t xml:space="preserve">Logistics</t>
  </si>
  <si>
    <t xml:space="preserve">AG-0024</t>
  </si>
  <si>
    <t xml:space="preserve">SW-TKT-05000034</t>
  </si>
  <si>
    <t xml:space="preserve">SW-CU-104592</t>
  </si>
  <si>
    <t xml:space="preserve">suresh singh</t>
  </si>
  <si>
    <t xml:space="preserve">08/08/2025</t>
  </si>
  <si>
    <t xml:space="preserve">SW-TKT-05000035</t>
  </si>
  <si>
    <t xml:space="preserve">SW-CU-103715</t>
  </si>
  <si>
    <t xml:space="preserve">Sanjay Shah</t>
  </si>
  <si>
    <t xml:space="preserve">07/30/2025</t>
  </si>
  <si>
    <t xml:space="preserve">AG-0018</t>
  </si>
  <si>
    <t xml:space="preserve">SW-TKT-05000036</t>
  </si>
  <si>
    <t xml:space="preserve">SW-CU-107358</t>
  </si>
  <si>
    <t xml:space="preserve">SHREYA BHATIA</t>
  </si>
  <si>
    <t xml:space="preserve">2025-08-26</t>
  </si>
  <si>
    <t xml:space="preserve">SW-TKT-05000037</t>
  </si>
  <si>
    <t xml:space="preserve">SW-CU-100840</t>
  </si>
  <si>
    <t xml:space="preserve">Aniket Shah</t>
  </si>
  <si>
    <t xml:space="preserve">01-08-2025</t>
  </si>
  <si>
    <t xml:space="preserve">AG-0110</t>
  </si>
  <si>
    <t xml:space="preserve">SW-TKT-05000038</t>
  </si>
  <si>
    <t xml:space="preserve">SW-CU-101385</t>
  </si>
  <si>
    <t xml:space="preserve">Arjun Kapoor</t>
  </si>
  <si>
    <t xml:space="preserve">2025-08-02</t>
  </si>
  <si>
    <t xml:space="preserve">SW-TKT-05000039</t>
  </si>
  <si>
    <t xml:space="preserve">SW-CU-107922</t>
  </si>
  <si>
    <t xml:space="preserve">anjali bose</t>
  </si>
  <si>
    <t xml:space="preserve">09/01/2025</t>
  </si>
  <si>
    <t xml:space="preserve">Delivery Delay</t>
  </si>
  <si>
    <t xml:space="preserve">SW-TKT-05000040</t>
  </si>
  <si>
    <t xml:space="preserve">SW-CU-104411</t>
  </si>
  <si>
    <t xml:space="preserve">Aniket Joshi</t>
  </si>
  <si>
    <t xml:space="preserve">AG-0055</t>
  </si>
  <si>
    <t xml:space="preserve">SW-TKT-05000041</t>
  </si>
  <si>
    <t xml:space="preserve">SW-CU-106623</t>
  </si>
  <si>
    <t xml:space="preserve">Pranav Mehta</t>
  </si>
  <si>
    <t xml:space="preserve">SW-TKT-05000042</t>
  </si>
  <si>
    <t xml:space="preserve">SW-CU-107614</t>
  </si>
  <si>
    <t xml:space="preserve">Sneha Singh</t>
  </si>
  <si>
    <t xml:space="preserve">07/25/2025</t>
  </si>
  <si>
    <t xml:space="preserve">AG-0080</t>
  </si>
  <si>
    <t xml:space="preserve">SW-TKT-05000043</t>
  </si>
  <si>
    <t xml:space="preserve">SW-CU-106597</t>
  </si>
  <si>
    <t xml:space="preserve">Aniket Bhatia</t>
  </si>
  <si>
    <t xml:space="preserve">2025-09-06</t>
  </si>
  <si>
    <t xml:space="preserve">AG-0030</t>
  </si>
  <si>
    <t xml:space="preserve">SW-TKT-05000044</t>
  </si>
  <si>
    <t xml:space="preserve">SW-CU-107724</t>
  </si>
  <si>
    <t xml:space="preserve">Ishita Bose</t>
  </si>
  <si>
    <t xml:space="preserve">08/12/2025</t>
  </si>
  <si>
    <t xml:space="preserve">AG-0098</t>
  </si>
  <si>
    <t xml:space="preserve">SW-TKT-05000045</t>
  </si>
  <si>
    <t xml:space="preserve">SW-CU-106762</t>
  </si>
  <si>
    <t xml:space="preserve">Isha Reddy</t>
  </si>
  <si>
    <t xml:space="preserve">2025-07-24</t>
  </si>
  <si>
    <t xml:space="preserve">SW-TKT-05000046</t>
  </si>
  <si>
    <t xml:space="preserve">SW-CU-104369</t>
  </si>
  <si>
    <t xml:space="preserve">Swati Bose</t>
  </si>
  <si>
    <t xml:space="preserve">09/14/2025</t>
  </si>
  <si>
    <t xml:space="preserve">AG-0010</t>
  </si>
  <si>
    <t xml:space="preserve">SW-TKT-05000047</t>
  </si>
  <si>
    <t xml:space="preserve">SW-CU-100986</t>
  </si>
  <si>
    <t xml:space="preserve">Ishita Shah</t>
  </si>
  <si>
    <t xml:space="preserve">2025-08-30</t>
  </si>
  <si>
    <t xml:space="preserve">AG-0132</t>
  </si>
  <si>
    <t xml:space="preserve">SW-TKT-05000048</t>
  </si>
  <si>
    <t xml:space="preserve">SW-CU-104231</t>
  </si>
  <si>
    <t xml:space="preserve">Saurabh Kumar</t>
  </si>
  <si>
    <t xml:space="preserve">SW-TKT-05000049</t>
  </si>
  <si>
    <t xml:space="preserve">SW-CU-105661</t>
  </si>
  <si>
    <t xml:space="preserve">meera menon</t>
  </si>
  <si>
    <t xml:space="preserve">08/19/2025</t>
  </si>
  <si>
    <t xml:space="preserve">AG-0071</t>
  </si>
  <si>
    <t xml:space="preserve">SW-TKT-05000050</t>
  </si>
  <si>
    <t xml:space="preserve">SW-CU-107313</t>
  </si>
  <si>
    <t xml:space="preserve">Saurabh Singh</t>
  </si>
  <si>
    <t xml:space="preserve">21-09-2025</t>
  </si>
  <si>
    <t xml:space="preserve">AG-0114</t>
  </si>
  <si>
    <t xml:space="preserve">SW-TKT-05000051</t>
  </si>
  <si>
    <t xml:space="preserve">SW-CU-107782</t>
  </si>
  <si>
    <t xml:space="preserve">Kavya Singh</t>
  </si>
  <si>
    <t xml:space="preserve">2025-07-07</t>
  </si>
  <si>
    <t xml:space="preserve">Wrong Item Received</t>
  </si>
  <si>
    <t xml:space="preserve">AG-0001</t>
  </si>
  <si>
    <t xml:space="preserve">SW-TKT-05000052</t>
  </si>
  <si>
    <t xml:space="preserve">SW-CU-101464</t>
  </si>
  <si>
    <t xml:space="preserve">Pranav Gupta</t>
  </si>
  <si>
    <t xml:space="preserve">07/11/2025</t>
  </si>
  <si>
    <t xml:space="preserve">AG-0013</t>
  </si>
  <si>
    <t xml:space="preserve">SW-TKT-05000053</t>
  </si>
  <si>
    <t xml:space="preserve">SW-CU-102918</t>
  </si>
  <si>
    <t xml:space="preserve">Neha Verma</t>
  </si>
  <si>
    <t xml:space="preserve">2025-07-14</t>
  </si>
  <si>
    <t xml:space="preserve">SW-TKT-05000054</t>
  </si>
  <si>
    <t xml:space="preserve">2025-08-22</t>
  </si>
  <si>
    <t xml:space="preserve">SW-SP-002</t>
  </si>
  <si>
    <t xml:space="preserve">AG-0074</t>
  </si>
  <si>
    <t xml:space="preserve">SW-TKT-05000055</t>
  </si>
  <si>
    <t xml:space="preserve">SW-CU-107579</t>
  </si>
  <si>
    <t xml:space="preserve">saurabh chopra</t>
  </si>
  <si>
    <t xml:space="preserve">AG-0095</t>
  </si>
  <si>
    <t xml:space="preserve">SW-TKT-05000056</t>
  </si>
  <si>
    <t xml:space="preserve">SW-CU-107460</t>
  </si>
  <si>
    <t xml:space="preserve">Nikhil Gupta</t>
  </si>
  <si>
    <t xml:space="preserve">SW-TKT-05000057</t>
  </si>
  <si>
    <t xml:space="preserve">SW-CU-104171</t>
  </si>
  <si>
    <t xml:space="preserve">Rohan Menon</t>
  </si>
  <si>
    <t xml:space="preserve">09/12/2025</t>
  </si>
  <si>
    <t xml:space="preserve">SW-TKT-05000058</t>
  </si>
  <si>
    <t xml:space="preserve">SW-CU-102050</t>
  </si>
  <si>
    <t xml:space="preserve">karan kumar</t>
  </si>
  <si>
    <t xml:space="preserve">2025-07-23</t>
  </si>
  <si>
    <t xml:space="preserve">AG-0078</t>
  </si>
  <si>
    <t xml:space="preserve">SW-TKT-05000059</t>
  </si>
  <si>
    <t xml:space="preserve">SW-CU-100880</t>
  </si>
  <si>
    <t xml:space="preserve">Divya Joshi</t>
  </si>
  <si>
    <t xml:space="preserve">2025-08-04</t>
  </si>
  <si>
    <t xml:space="preserve">AG-0088</t>
  </si>
  <si>
    <t xml:space="preserve">SW-TKT-05000060</t>
  </si>
  <si>
    <t xml:space="preserve">SW-CU-105229</t>
  </si>
  <si>
    <t xml:space="preserve">Aditya Joshi</t>
  </si>
  <si>
    <t xml:space="preserve">AG-0020</t>
  </si>
  <si>
    <t xml:space="preserve">SW-TKT-05000061</t>
  </si>
  <si>
    <t xml:space="preserve">SW-CU-105729</t>
  </si>
  <si>
    <t xml:space="preserve">07-09-2025</t>
  </si>
  <si>
    <t xml:space="preserve">SW-TKT-05000062</t>
  </si>
  <si>
    <t xml:space="preserve">SW-CU-107751</t>
  </si>
  <si>
    <t xml:space="preserve">Gaurav Chopra</t>
  </si>
  <si>
    <t xml:space="preserve">09/28/2025</t>
  </si>
  <si>
    <t xml:space="preserve">SW-TKT-05000063</t>
  </si>
  <si>
    <t xml:space="preserve">SW-CU-107006</t>
  </si>
  <si>
    <t xml:space="preserve">Arjun Gupta</t>
  </si>
  <si>
    <t xml:space="preserve">29-08-2025</t>
  </si>
  <si>
    <t xml:space="preserve">AG-0073</t>
  </si>
  <si>
    <t xml:space="preserve">SW-TKT-05000064</t>
  </si>
  <si>
    <t xml:space="preserve">SW-CU-106872</t>
  </si>
  <si>
    <t xml:space="preserve">deepak nair</t>
  </si>
  <si>
    <t xml:space="preserve">2025-08-11</t>
  </si>
  <si>
    <t xml:space="preserve">SW-TKT-05000065</t>
  </si>
  <si>
    <t xml:space="preserve">SW-CU-104421</t>
  </si>
  <si>
    <t xml:space="preserve">Rajat Gupta</t>
  </si>
  <si>
    <t xml:space="preserve">08/16/2025</t>
  </si>
  <si>
    <t xml:space="preserve">SW-TKT-05000066</t>
  </si>
  <si>
    <t xml:space="preserve">SW-CU-107993</t>
  </si>
  <si>
    <t xml:space="preserve">2025-07-03</t>
  </si>
  <si>
    <t xml:space="preserve">AG-0154</t>
  </si>
  <si>
    <t xml:space="preserve">SW-TKT-05000067</t>
  </si>
  <si>
    <t xml:space="preserve">SW-CU-103555</t>
  </si>
  <si>
    <t xml:space="preserve">Ankit Gupta</t>
  </si>
  <si>
    <t xml:space="preserve">2025-09-02</t>
  </si>
  <si>
    <t xml:space="preserve">AG-0121</t>
  </si>
  <si>
    <t xml:space="preserve">SW-TKT-05000068</t>
  </si>
  <si>
    <t xml:space="preserve">SW-CU-100722</t>
  </si>
  <si>
    <t xml:space="preserve">Riya Kapoor</t>
  </si>
  <si>
    <t xml:space="preserve">19-08-2025</t>
  </si>
  <si>
    <t xml:space="preserve">SW-TKT-05000069</t>
  </si>
  <si>
    <t xml:space="preserve">SW-CU-104127</t>
  </si>
  <si>
    <t xml:space="preserve">Meera Shah</t>
  </si>
  <si>
    <t xml:space="preserve">2025-09-14</t>
  </si>
  <si>
    <t xml:space="preserve">SW-TKT-05000070</t>
  </si>
  <si>
    <t xml:space="preserve">SW-CU-107200</t>
  </si>
  <si>
    <t xml:space="preserve">Neha Mehta</t>
  </si>
  <si>
    <t xml:space="preserve">2025-08-01</t>
  </si>
  <si>
    <t xml:space="preserve">AG-0035</t>
  </si>
  <si>
    <t xml:space="preserve">SW-TKT-05000071</t>
  </si>
  <si>
    <t xml:space="preserve">SW-CU-101140</t>
  </si>
  <si>
    <t xml:space="preserve">Kavya Das</t>
  </si>
  <si>
    <t xml:space="preserve">AG-0028</t>
  </si>
  <si>
    <t xml:space="preserve">SW-TKT-05000072</t>
  </si>
  <si>
    <t xml:space="preserve">SW-CU-102086</t>
  </si>
  <si>
    <t xml:space="preserve">Arjun Malhotra</t>
  </si>
  <si>
    <t xml:space="preserve">2025-09-08</t>
  </si>
  <si>
    <t xml:space="preserve">SW-TKT-05000073</t>
  </si>
  <si>
    <t xml:space="preserve">SW-CU-101899</t>
  </si>
  <si>
    <t xml:space="preserve">ananya menon</t>
  </si>
  <si>
    <t xml:space="preserve">2025-08-14</t>
  </si>
  <si>
    <t xml:space="preserve">AG-0002</t>
  </si>
  <si>
    <t xml:space="preserve">SW-TKT-05000074</t>
  </si>
  <si>
    <t xml:space="preserve">SW-CU-105156</t>
  </si>
  <si>
    <t xml:space="preserve">Gaurav Bose</t>
  </si>
  <si>
    <t xml:space="preserve">SW-TKT-05000075</t>
  </si>
  <si>
    <t xml:space="preserve">SW-CU-106551</t>
  </si>
  <si>
    <t xml:space="preserve">Rohan Shah</t>
  </si>
  <si>
    <t xml:space="preserve">2025-08-03</t>
  </si>
  <si>
    <t xml:space="preserve">AG-0091</t>
  </si>
  <si>
    <t xml:space="preserve">SW-TKT-05000076</t>
  </si>
  <si>
    <t xml:space="preserve">SW-CU-100740</t>
  </si>
  <si>
    <t xml:space="preserve">Rajat Verma</t>
  </si>
  <si>
    <t xml:space="preserve">2025-09-21</t>
  </si>
  <si>
    <t xml:space="preserve">SW-TKT-05000077</t>
  </si>
  <si>
    <t xml:space="preserve">SW-CU-101021</t>
  </si>
  <si>
    <t xml:space="preserve">Amit Chopra</t>
  </si>
  <si>
    <t xml:space="preserve">AG-0099</t>
  </si>
  <si>
    <t xml:space="preserve">SW-TKT-05000078</t>
  </si>
  <si>
    <t xml:space="preserve">SW-CU-100965</t>
  </si>
  <si>
    <t xml:space="preserve">Ankit Joshi</t>
  </si>
  <si>
    <t xml:space="preserve">2025-09-17</t>
  </si>
  <si>
    <t xml:space="preserve">AG-0037</t>
  </si>
  <si>
    <t xml:space="preserve">SW-TKT-05000079</t>
  </si>
  <si>
    <t xml:space="preserve">SW-CU-104152</t>
  </si>
  <si>
    <t xml:space="preserve">Sneha Joshi</t>
  </si>
  <si>
    <t xml:space="preserve">AG-0129</t>
  </si>
  <si>
    <t xml:space="preserve">SW-TKT-05000080</t>
  </si>
  <si>
    <t xml:space="preserve">SW-CU-101646</t>
  </si>
  <si>
    <t xml:space="preserve">Isha Verma</t>
  </si>
  <si>
    <t xml:space="preserve">07/29/2025</t>
  </si>
  <si>
    <t xml:space="preserve">AG-0005</t>
  </si>
  <si>
    <t xml:space="preserve">SW-TKT-05000081</t>
  </si>
  <si>
    <t xml:space="preserve">SW-CU-103057</t>
  </si>
  <si>
    <t xml:space="preserve">Riya Agarwal</t>
  </si>
  <si>
    <t xml:space="preserve">2025-08-05</t>
  </si>
  <si>
    <t xml:space="preserve">SW-TKT-05000082</t>
  </si>
  <si>
    <t xml:space="preserve">SW-CU-104580</t>
  </si>
  <si>
    <t xml:space="preserve">Nikhil Kapoor</t>
  </si>
  <si>
    <t xml:space="preserve">2025-07-10</t>
  </si>
  <si>
    <t xml:space="preserve">SW-TKT-05000083</t>
  </si>
  <si>
    <t xml:space="preserve">SW-CU-105648</t>
  </si>
  <si>
    <t xml:space="preserve">2025-09-15</t>
  </si>
  <si>
    <t xml:space="preserve">SW-TKT-05000084</t>
  </si>
  <si>
    <t xml:space="preserve">SW-CU-105971</t>
  </si>
  <si>
    <t xml:space="preserve">Arjun Singh</t>
  </si>
  <si>
    <t xml:space="preserve">06-09-2025</t>
  </si>
  <si>
    <t xml:space="preserve">SW-TKT-05000085</t>
  </si>
  <si>
    <t xml:space="preserve">SW-CU-104334</t>
  </si>
  <si>
    <t xml:space="preserve">Aniket Chopra</t>
  </si>
  <si>
    <t xml:space="preserve">08-07-2025</t>
  </si>
  <si>
    <t xml:space="preserve">AG-0056</t>
  </si>
  <si>
    <t xml:space="preserve">SW-TKT-05000086</t>
  </si>
  <si>
    <t xml:space="preserve">SW-CU-101592</t>
  </si>
  <si>
    <t xml:space="preserve">Aarti Nair</t>
  </si>
  <si>
    <t xml:space="preserve">08/05/2025</t>
  </si>
  <si>
    <t xml:space="preserve">AG-0096</t>
  </si>
  <si>
    <t xml:space="preserve">SW-TKT-05000087</t>
  </si>
  <si>
    <t xml:space="preserve">SW-CU-107465</t>
  </si>
  <si>
    <t xml:space="preserve">10-09-2025</t>
  </si>
  <si>
    <t xml:space="preserve">Order Cancellation</t>
  </si>
  <si>
    <t xml:space="preserve">Order</t>
  </si>
  <si>
    <t xml:space="preserve">AG-0169</t>
  </si>
  <si>
    <t xml:space="preserve">SW-TKT-05000088</t>
  </si>
  <si>
    <t xml:space="preserve">SW-CU-102089</t>
  </si>
  <si>
    <t xml:space="preserve">Priya Joshi</t>
  </si>
  <si>
    <t xml:space="preserve">2025-08-27</t>
  </si>
  <si>
    <t xml:space="preserve">SW-TKT-05000089</t>
  </si>
  <si>
    <t xml:space="preserve">SW-CU-102969</t>
  </si>
  <si>
    <t xml:space="preserve">kritika das</t>
  </si>
  <si>
    <t xml:space="preserve">AG-0104</t>
  </si>
  <si>
    <t xml:space="preserve">SW-TKT-05000090</t>
  </si>
  <si>
    <t xml:space="preserve">SW-CU-101929</t>
  </si>
  <si>
    <t xml:space="preserve">Megha Menon</t>
  </si>
  <si>
    <t xml:space="preserve">2025-08-09</t>
  </si>
  <si>
    <t xml:space="preserve">AG-0126</t>
  </si>
  <si>
    <t xml:space="preserve">SW-TKT-05000091</t>
  </si>
  <si>
    <t xml:space="preserve">SW-CU-100053</t>
  </si>
  <si>
    <t xml:space="preserve">Gaurav Joshi</t>
  </si>
  <si>
    <t xml:space="preserve">13-07-2025</t>
  </si>
  <si>
    <t xml:space="preserve">AG-0116</t>
  </si>
  <si>
    <t xml:space="preserve">SW-TKT-05000092</t>
  </si>
  <si>
    <t xml:space="preserve">SW-CU-107563</t>
  </si>
  <si>
    <t xml:space="preserve">rahul chopra</t>
  </si>
  <si>
    <t xml:space="preserve">SW-TKT-05000093</t>
  </si>
  <si>
    <t xml:space="preserve">SW-CU-107309</t>
  </si>
  <si>
    <t xml:space="preserve">Pranav Das</t>
  </si>
  <si>
    <t xml:space="preserve">AG-0012</t>
  </si>
  <si>
    <t xml:space="preserve">SW-TKT-05000094</t>
  </si>
  <si>
    <t xml:space="preserve">SW-CU-105046</t>
  </si>
  <si>
    <t xml:space="preserve">Ananya Mehta</t>
  </si>
  <si>
    <t xml:space="preserve">SW-TKT-05000095</t>
  </si>
  <si>
    <t xml:space="preserve">SW-CU-106449</t>
  </si>
  <si>
    <t xml:space="preserve">2025-07-08</t>
  </si>
  <si>
    <t xml:space="preserve">AG-0077</t>
  </si>
  <si>
    <t xml:space="preserve">SW-TKT-05000096</t>
  </si>
  <si>
    <t xml:space="preserve">SW-CU-102816</t>
  </si>
  <si>
    <t xml:space="preserve">Isha Kumar</t>
  </si>
  <si>
    <t xml:space="preserve">13-09-2025</t>
  </si>
  <si>
    <t xml:space="preserve">SW-TKT-05000097</t>
  </si>
  <si>
    <t xml:space="preserve">SW-CU-103361</t>
  </si>
  <si>
    <t xml:space="preserve">isha mehta</t>
  </si>
  <si>
    <t xml:space="preserve">2025-09-28</t>
  </si>
  <si>
    <t xml:space="preserve">AG-0100</t>
  </si>
  <si>
    <t xml:space="preserve">SW-TKT-05000098</t>
  </si>
  <si>
    <t xml:space="preserve">SW-CU-107715</t>
  </si>
  <si>
    <t xml:space="preserve">MEERA REDDY</t>
  </si>
  <si>
    <t xml:space="preserve">SW-TKT-05000099</t>
  </si>
  <si>
    <t xml:space="preserve">SW-CU-105432</t>
  </si>
  <si>
    <t xml:space="preserve">Suresh Gupta</t>
  </si>
  <si>
    <t xml:space="preserve">2025-07-25</t>
  </si>
  <si>
    <t xml:space="preserve">AG-0044</t>
  </si>
  <si>
    <t xml:space="preserve">SW-TKT-05000100</t>
  </si>
  <si>
    <t xml:space="preserve">SW-CU-100670</t>
  </si>
  <si>
    <t xml:space="preserve">Rahul Malhotra</t>
  </si>
  <si>
    <t xml:space="preserve">SW-TKT-05000101</t>
  </si>
  <si>
    <t xml:space="preserve">SW-CU-107618</t>
  </si>
  <si>
    <t xml:space="preserve">aniket reddy</t>
  </si>
  <si>
    <t xml:space="preserve">2025-08-18</t>
  </si>
  <si>
    <t xml:space="preserve">AG-0048</t>
  </si>
  <si>
    <t xml:space="preserve">SW-TKT-05000102</t>
  </si>
  <si>
    <t xml:space="preserve">SW-CU-101079</t>
  </si>
  <si>
    <t xml:space="preserve">arjun chopra</t>
  </si>
  <si>
    <t xml:space="preserve">SW-TKT-05000103</t>
  </si>
  <si>
    <t xml:space="preserve">SW-CU-106445</t>
  </si>
  <si>
    <t xml:space="preserve">ankit sharma</t>
  </si>
  <si>
    <t xml:space="preserve">AG-0067</t>
  </si>
  <si>
    <t xml:space="preserve">SW-TKT-05000104</t>
  </si>
  <si>
    <t xml:space="preserve">SW-CU-102698</t>
  </si>
  <si>
    <t xml:space="preserve">pranav kapoor</t>
  </si>
  <si>
    <t xml:space="preserve">2025-07-09</t>
  </si>
  <si>
    <t xml:space="preserve">SW-TKT-05000105</t>
  </si>
  <si>
    <t xml:space="preserve">SW-CU-106016</t>
  </si>
  <si>
    <t xml:space="preserve">Manish Das</t>
  </si>
  <si>
    <t xml:space="preserve">28-09-2025</t>
  </si>
  <si>
    <t xml:space="preserve">SW-TKT-05000106</t>
  </si>
  <si>
    <t xml:space="preserve">SW-CU-101286</t>
  </si>
  <si>
    <t xml:space="preserve">Deepak Verma</t>
  </si>
  <si>
    <t xml:space="preserve">08/02/2025</t>
  </si>
  <si>
    <t xml:space="preserve">AG-0040</t>
  </si>
  <si>
    <t xml:space="preserve">SW-TKT-05000107</t>
  </si>
  <si>
    <t xml:space="preserve">SW-CU-102252</t>
  </si>
  <si>
    <t xml:space="preserve">gaurav reddy</t>
  </si>
  <si>
    <t xml:space="preserve">08/01/2025</t>
  </si>
  <si>
    <t xml:space="preserve">AG-0022</t>
  </si>
  <si>
    <t xml:space="preserve">SW-TKT-05000108</t>
  </si>
  <si>
    <t xml:space="preserve">SW-CU-104680</t>
  </si>
  <si>
    <t xml:space="preserve">Aditya Shah</t>
  </si>
  <si>
    <t xml:space="preserve">19-07-2025</t>
  </si>
  <si>
    <t xml:space="preserve">SW-TKT-05000109</t>
  </si>
  <si>
    <t xml:space="preserve">SW-CU-104547</t>
  </si>
  <si>
    <t xml:space="preserve">Neha Chopra</t>
  </si>
  <si>
    <t xml:space="preserve">2025-08-10</t>
  </si>
  <si>
    <t xml:space="preserve">AG-0042</t>
  </si>
  <si>
    <t xml:space="preserve">SW-TKT-05000110</t>
  </si>
  <si>
    <t xml:space="preserve">SW-CU-100854</t>
  </si>
  <si>
    <t xml:space="preserve">Ravi Das</t>
  </si>
  <si>
    <t xml:space="preserve">SW-TKT-05000111</t>
  </si>
  <si>
    <t xml:space="preserve">SW-CU-106079</t>
  </si>
  <si>
    <t xml:space="preserve">Sanjay Bose</t>
  </si>
  <si>
    <t xml:space="preserve">SW-TKT-05000112</t>
  </si>
  <si>
    <t xml:space="preserve">SW-CU-103669</t>
  </si>
  <si>
    <t xml:space="preserve">Nikhil Shah</t>
  </si>
  <si>
    <t xml:space="preserve">2025-08-20</t>
  </si>
  <si>
    <t xml:space="preserve">AG-0162</t>
  </si>
  <si>
    <t xml:space="preserve">SW-TKT-05000113</t>
  </si>
  <si>
    <t xml:space="preserve">SW-CU-107124</t>
  </si>
  <si>
    <t xml:space="preserve">Isha Malhotra</t>
  </si>
  <si>
    <t xml:space="preserve">2025-09-09</t>
  </si>
  <si>
    <t xml:space="preserve">AG-0060</t>
  </si>
  <si>
    <t xml:space="preserve">SW-TKT-05000114</t>
  </si>
  <si>
    <t xml:space="preserve">SW-CU-102921</t>
  </si>
  <si>
    <t xml:space="preserve">Shreya Agarwal</t>
  </si>
  <si>
    <t xml:space="preserve">2025-07-27</t>
  </si>
  <si>
    <t xml:space="preserve">AG-0014</t>
  </si>
  <si>
    <t xml:space="preserve">SW-TKT-05000115</t>
  </si>
  <si>
    <t xml:space="preserve">SW-CU-104729</t>
  </si>
  <si>
    <t xml:space="preserve">09/27/2025</t>
  </si>
  <si>
    <t xml:space="preserve">SW-TKT-05000116</t>
  </si>
  <si>
    <t xml:space="preserve">SW-CU-102780</t>
  </si>
  <si>
    <t xml:space="preserve">Tanvi Gupta</t>
  </si>
  <si>
    <t xml:space="preserve">SW-TKT-05000117</t>
  </si>
  <si>
    <t xml:space="preserve">AG-0043</t>
  </si>
  <si>
    <t xml:space="preserve">SW-TKT-05000118</t>
  </si>
  <si>
    <t xml:space="preserve">SW-CU-102417</t>
  </si>
  <si>
    <t xml:space="preserve">Amit Kumar</t>
  </si>
  <si>
    <t xml:space="preserve">SW-TKT-05000119</t>
  </si>
  <si>
    <t xml:space="preserve">SW-CU-102210</t>
  </si>
  <si>
    <t xml:space="preserve">RAVI IYER</t>
  </si>
  <si>
    <t xml:space="preserve">SW-TKT-05000120</t>
  </si>
  <si>
    <t xml:space="preserve">SW-CU-106803</t>
  </si>
  <si>
    <t xml:space="preserve">Ananya Bose</t>
  </si>
  <si>
    <t xml:space="preserve">2025-09-29</t>
  </si>
  <si>
    <t xml:space="preserve">SW-TKT-05000121</t>
  </si>
  <si>
    <t xml:space="preserve">SW-CU-106536</t>
  </si>
  <si>
    <t xml:space="preserve">Megha Das</t>
  </si>
  <si>
    <t xml:space="preserve">SW-TKT-05000122</t>
  </si>
  <si>
    <t xml:space="preserve">SW-CU-105438</t>
  </si>
  <si>
    <t xml:space="preserve">Sneha Mehta</t>
  </si>
  <si>
    <t xml:space="preserve">08/20/2025</t>
  </si>
  <si>
    <t xml:space="preserve">SW-TKT-05000123</t>
  </si>
  <si>
    <t xml:space="preserve">SW-CU-103544</t>
  </si>
  <si>
    <t xml:space="preserve">08/26/2025</t>
  </si>
  <si>
    <t xml:space="preserve">SW-TKT-05000124</t>
  </si>
  <si>
    <t xml:space="preserve">SW-CU-100836</t>
  </si>
  <si>
    <t xml:space="preserve">Divya Agarwal</t>
  </si>
  <si>
    <t xml:space="preserve">AG-0161</t>
  </si>
  <si>
    <t xml:space="preserve">SW-TKT-05000125</t>
  </si>
  <si>
    <t xml:space="preserve">SW-CU-101393</t>
  </si>
  <si>
    <t xml:space="preserve">AG-0147</t>
  </si>
  <si>
    <t xml:space="preserve">SW-TKT-05000126</t>
  </si>
  <si>
    <t xml:space="preserve">SW-CU-100301</t>
  </si>
  <si>
    <t xml:space="preserve">vikram chopra</t>
  </si>
  <si>
    <t xml:space="preserve">SW-TKT-05000127</t>
  </si>
  <si>
    <t xml:space="preserve">SW-CU-103014</t>
  </si>
  <si>
    <t xml:space="preserve">Isha Das</t>
  </si>
  <si>
    <t xml:space="preserve">AG-0130</t>
  </si>
  <si>
    <t xml:space="preserve">SW-TKT-05000128</t>
  </si>
  <si>
    <t xml:space="preserve">SW-CU-103877</t>
  </si>
  <si>
    <t xml:space="preserve">Kritika Bhatia</t>
  </si>
  <si>
    <t xml:space="preserve">SW-TKT-05000129</t>
  </si>
  <si>
    <t xml:space="preserve">SW-CU-102107</t>
  </si>
  <si>
    <t xml:space="preserve">Nidhi Das</t>
  </si>
  <si>
    <t xml:space="preserve">21-08-2025</t>
  </si>
  <si>
    <t xml:space="preserve">AG-0093</t>
  </si>
  <si>
    <t xml:space="preserve">SW-TKT-05000130</t>
  </si>
  <si>
    <t xml:space="preserve">SW-CU-103619</t>
  </si>
  <si>
    <t xml:space="preserve">aniket bose</t>
  </si>
  <si>
    <t xml:space="preserve">AG-0016</t>
  </si>
  <si>
    <t xml:space="preserve">SW-TKT-05000131</t>
  </si>
  <si>
    <t xml:space="preserve">SW-CU-107501</t>
  </si>
  <si>
    <t xml:space="preserve">Ritu Reddy</t>
  </si>
  <si>
    <t xml:space="preserve">SW-TKT-05000132</t>
  </si>
  <si>
    <t xml:space="preserve">SW-CU-102854</t>
  </si>
  <si>
    <t xml:space="preserve">Vikram Bose</t>
  </si>
  <si>
    <t xml:space="preserve">2025-08-08</t>
  </si>
  <si>
    <t xml:space="preserve">SW-TKT-05000133</t>
  </si>
  <si>
    <t xml:space="preserve">SW-CU-106862</t>
  </si>
  <si>
    <t xml:space="preserve">rohan kumar</t>
  </si>
  <si>
    <t xml:space="preserve">07/16/2025</t>
  </si>
  <si>
    <t xml:space="preserve">SW-TKT-05000134</t>
  </si>
  <si>
    <t xml:space="preserve">SW-CU-105555</t>
  </si>
  <si>
    <t xml:space="preserve">Riya Das</t>
  </si>
  <si>
    <t xml:space="preserve">SW-TKT-05000135</t>
  </si>
  <si>
    <t xml:space="preserve">SW-CU-103107</t>
  </si>
  <si>
    <t xml:space="preserve">Ananya Kumar</t>
  </si>
  <si>
    <t xml:space="preserve">08/31/2025</t>
  </si>
  <si>
    <t xml:space="preserve">SW-TKT-05000136</t>
  </si>
  <si>
    <t xml:space="preserve">SW-CU-102170</t>
  </si>
  <si>
    <t xml:space="preserve">priya verma</t>
  </si>
  <si>
    <t xml:space="preserve">07/08/2025</t>
  </si>
  <si>
    <t xml:space="preserve">AG-0084</t>
  </si>
  <si>
    <t xml:space="preserve">SW-TKT-05000137</t>
  </si>
  <si>
    <t xml:space="preserve">SW-CU-102700</t>
  </si>
  <si>
    <t xml:space="preserve">2025-09-19</t>
  </si>
  <si>
    <t xml:space="preserve">AG-0058</t>
  </si>
  <si>
    <t xml:space="preserve">SW-TKT-05000138</t>
  </si>
  <si>
    <t xml:space="preserve">SW-CU-104278</t>
  </si>
  <si>
    <t xml:space="preserve">Sanjay Nair</t>
  </si>
  <si>
    <t xml:space="preserve">07/15/2025</t>
  </si>
  <si>
    <t xml:space="preserve">SW-TKT-05000139</t>
  </si>
  <si>
    <t xml:space="preserve">SW-CU-102781</t>
  </si>
  <si>
    <t xml:space="preserve">Ajay Singh</t>
  </si>
  <si>
    <t xml:space="preserve">2025-07-28</t>
  </si>
  <si>
    <t xml:space="preserve">SW-TKT-05000140</t>
  </si>
  <si>
    <t xml:space="preserve">SW-CU-105930</t>
  </si>
  <si>
    <t xml:space="preserve">Vikram Malhotra</t>
  </si>
  <si>
    <t xml:space="preserve">2025-09-22</t>
  </si>
  <si>
    <t xml:space="preserve">SW-TKT-05000141</t>
  </si>
  <si>
    <t xml:space="preserve">SW-CU-103658</t>
  </si>
  <si>
    <t xml:space="preserve">Riya Patel</t>
  </si>
  <si>
    <t xml:space="preserve">2025-08-17</t>
  </si>
  <si>
    <t xml:space="preserve">AG-0011</t>
  </si>
  <si>
    <t xml:space="preserve">SW-TKT-05000142</t>
  </si>
  <si>
    <t xml:space="preserve">SW-CU-100862</t>
  </si>
  <si>
    <t xml:space="preserve">Meera Sharma</t>
  </si>
  <si>
    <t xml:space="preserve">SW-TKT-05000143</t>
  </si>
  <si>
    <t xml:space="preserve">SW-CU-104688</t>
  </si>
  <si>
    <t xml:space="preserve">Sanjay Gupta</t>
  </si>
  <si>
    <t xml:space="preserve">SW-TKT-05000144</t>
  </si>
  <si>
    <t xml:space="preserve">SW-CU-103741</t>
  </si>
  <si>
    <t xml:space="preserve">Nikhil Verma</t>
  </si>
  <si>
    <t xml:space="preserve">2025-09-24</t>
  </si>
  <si>
    <t xml:space="preserve">SW-TKT-05000145</t>
  </si>
  <si>
    <t xml:space="preserve">SW-CU-101441</t>
  </si>
  <si>
    <t xml:space="preserve">ritu gupta</t>
  </si>
  <si>
    <t xml:space="preserve">SW-TKT-05000146</t>
  </si>
  <si>
    <t xml:space="preserve">SW-CU-106392</t>
  </si>
  <si>
    <t xml:space="preserve">manish bhatia</t>
  </si>
  <si>
    <t xml:space="preserve">SW-TKT-05000147</t>
  </si>
  <si>
    <t xml:space="preserve">SW-CU-106991</t>
  </si>
  <si>
    <t xml:space="preserve">Ankit Agarwal</t>
  </si>
  <si>
    <t xml:space="preserve">SW-TKT-05000148</t>
  </si>
  <si>
    <t xml:space="preserve">SW-CU-103915</t>
  </si>
  <si>
    <t xml:space="preserve">suresh malhotra</t>
  </si>
  <si>
    <t xml:space="preserve">SW-TKT-05000149</t>
  </si>
  <si>
    <t xml:space="preserve">AG-0027</t>
  </si>
  <si>
    <t xml:space="preserve">SW-TKT-05000150</t>
  </si>
  <si>
    <t xml:space="preserve">SW-CU-106452</t>
  </si>
  <si>
    <t xml:space="preserve">ANKIT KAPOOR</t>
  </si>
  <si>
    <t xml:space="preserve">09/23/2025</t>
  </si>
  <si>
    <t xml:space="preserve">AG-0068</t>
  </si>
  <si>
    <t xml:space="preserve">SW-TKT-05000151</t>
  </si>
  <si>
    <t xml:space="preserve">SW-CU-107126</t>
  </si>
  <si>
    <t xml:space="preserve">swati nair</t>
  </si>
  <si>
    <t xml:space="preserve">24-07-2025</t>
  </si>
  <si>
    <t xml:space="preserve">SW-TKT-05000152</t>
  </si>
  <si>
    <t xml:space="preserve">SW-CU-100675</t>
  </si>
  <si>
    <t xml:space="preserve">SW-TKT-05000153</t>
  </si>
  <si>
    <t xml:space="preserve">SW-CU-100116</t>
  </si>
  <si>
    <t xml:space="preserve">AG-0151</t>
  </si>
  <si>
    <t xml:space="preserve">SW-TKT-05000154</t>
  </si>
  <si>
    <t xml:space="preserve">SW-CU-106203</t>
  </si>
  <si>
    <t xml:space="preserve">Gaurav Bhatia</t>
  </si>
  <si>
    <t xml:space="preserve">2025-08-13</t>
  </si>
  <si>
    <t xml:space="preserve">SW-TKT-05000155</t>
  </si>
  <si>
    <t xml:space="preserve">SW-CU-102637</t>
  </si>
  <si>
    <t xml:space="preserve">Amit Agarwal</t>
  </si>
  <si>
    <t xml:space="preserve">AG-0069</t>
  </si>
  <si>
    <t xml:space="preserve">SW-TKT-05000156</t>
  </si>
  <si>
    <t xml:space="preserve">SW-CU-102822</t>
  </si>
  <si>
    <t xml:space="preserve">Suresh Singh</t>
  </si>
  <si>
    <t xml:space="preserve">08/21/2025</t>
  </si>
  <si>
    <t xml:space="preserve">AG-0101</t>
  </si>
  <si>
    <t xml:space="preserve">SW-TKT-05000157</t>
  </si>
  <si>
    <t xml:space="preserve">SW-CU-100344</t>
  </si>
  <si>
    <t xml:space="preserve">Aarti Kumar</t>
  </si>
  <si>
    <t xml:space="preserve">2025-07-02</t>
  </si>
  <si>
    <t xml:space="preserve">AG-0117</t>
  </si>
  <si>
    <t xml:space="preserve">SW-TKT-05000158</t>
  </si>
  <si>
    <t xml:space="preserve">SW-CU-101476</t>
  </si>
  <si>
    <t xml:space="preserve">Rahul Kumar</t>
  </si>
  <si>
    <t xml:space="preserve">SW-TKT-05000159</t>
  </si>
  <si>
    <t xml:space="preserve">SW-CU-103661</t>
  </si>
  <si>
    <t xml:space="preserve">Nidhi Bhatia</t>
  </si>
  <si>
    <t xml:space="preserve">AG-0072</t>
  </si>
  <si>
    <t xml:space="preserve">SW-TKT-05000160</t>
  </si>
  <si>
    <t xml:space="preserve">SW-CU-106064</t>
  </si>
  <si>
    <t xml:space="preserve">Ankit Das</t>
  </si>
  <si>
    <t xml:space="preserve">08/10/2025</t>
  </si>
  <si>
    <t xml:space="preserve">SW-TKT-05000161</t>
  </si>
  <si>
    <t xml:space="preserve">SW-CU-101353</t>
  </si>
  <si>
    <t xml:space="preserve">Saurabh Iyer</t>
  </si>
  <si>
    <t xml:space="preserve">08/27/2025</t>
  </si>
  <si>
    <t xml:space="preserve">AG-0103</t>
  </si>
  <si>
    <t xml:space="preserve">SW-TKT-05000162</t>
  </si>
  <si>
    <t xml:space="preserve">SW-CU-106591</t>
  </si>
  <si>
    <t xml:space="preserve">Amit Joshi</t>
  </si>
  <si>
    <t xml:space="preserve">AG-0032</t>
  </si>
  <si>
    <t xml:space="preserve">SW-TKT-05000163</t>
  </si>
  <si>
    <t xml:space="preserve">SW-CU-105182</t>
  </si>
  <si>
    <t xml:space="preserve">Aditya Das</t>
  </si>
  <si>
    <t xml:space="preserve">SW-TKT-05000164</t>
  </si>
  <si>
    <t xml:space="preserve">SW-CU-102371</t>
  </si>
  <si>
    <t xml:space="preserve">KRITIKA SHARMA</t>
  </si>
  <si>
    <t xml:space="preserve">AG-0006</t>
  </si>
  <si>
    <t xml:space="preserve">SW-TKT-05000165</t>
  </si>
  <si>
    <t xml:space="preserve">SW-CU-105579</t>
  </si>
  <si>
    <t xml:space="preserve">Vikram Verma</t>
  </si>
  <si>
    <t xml:space="preserve">18-09-2025</t>
  </si>
  <si>
    <t xml:space="preserve">SW-TKT-05000166</t>
  </si>
  <si>
    <t xml:space="preserve">SW-CU-103244</t>
  </si>
  <si>
    <t xml:space="preserve">Deepak Kumar</t>
  </si>
  <si>
    <t xml:space="preserve">AG-0026</t>
  </si>
  <si>
    <t xml:space="preserve">SW-TKT-05000167</t>
  </si>
  <si>
    <t xml:space="preserve">SW-CU-100407</t>
  </si>
  <si>
    <t xml:space="preserve">Shreya Mehta</t>
  </si>
  <si>
    <t xml:space="preserve">07/22/2025</t>
  </si>
  <si>
    <t xml:space="preserve">SW-TKT-05000168</t>
  </si>
  <si>
    <t xml:space="preserve">SW-CU-107591</t>
  </si>
  <si>
    <t xml:space="preserve">Pranav Reddy</t>
  </si>
  <si>
    <t xml:space="preserve">08/25/2025</t>
  </si>
  <si>
    <t xml:space="preserve">AG-0164</t>
  </si>
  <si>
    <t xml:space="preserve">SW-TKT-05000169</t>
  </si>
  <si>
    <t xml:space="preserve">SW-CU-105610</t>
  </si>
  <si>
    <t xml:space="preserve">Aarti Bhatia</t>
  </si>
  <si>
    <t xml:space="preserve">14-08-2025</t>
  </si>
  <si>
    <t xml:space="preserve">SW-TKT-05000170</t>
  </si>
  <si>
    <t xml:space="preserve">SW-CU-104250</t>
  </si>
  <si>
    <t xml:space="preserve">sneha kapoor</t>
  </si>
  <si>
    <t xml:space="preserve">SW-TKT-05000171</t>
  </si>
  <si>
    <t xml:space="preserve">SW-CU-106581</t>
  </si>
  <si>
    <t xml:space="preserve">Aarti Kapoor</t>
  </si>
  <si>
    <t xml:space="preserve">SW-TKT-05000172</t>
  </si>
  <si>
    <t xml:space="preserve">SW-CU-103798</t>
  </si>
  <si>
    <t xml:space="preserve">karan agarwal</t>
  </si>
  <si>
    <t xml:space="preserve">SW-TKT-05000173</t>
  </si>
  <si>
    <t xml:space="preserve">SW-CU-102694</t>
  </si>
  <si>
    <t xml:space="preserve">Deepak Nair</t>
  </si>
  <si>
    <t xml:space="preserve">SW-TKT-05000174</t>
  </si>
  <si>
    <t xml:space="preserve">SW-CU-105255</t>
  </si>
  <si>
    <t xml:space="preserve">Divya Bose</t>
  </si>
  <si>
    <t xml:space="preserve">2025-07-22</t>
  </si>
  <si>
    <t xml:space="preserve">SW-TKT-05000175</t>
  </si>
  <si>
    <t xml:space="preserve">SW-CU-101405</t>
  </si>
  <si>
    <t xml:space="preserve">Deepak Gupta</t>
  </si>
  <si>
    <t xml:space="preserve">SW-TKT-05000176</t>
  </si>
  <si>
    <t xml:space="preserve">SW-CU-100269</t>
  </si>
  <si>
    <t xml:space="preserve">Kavya Iyer</t>
  </si>
  <si>
    <t xml:space="preserve">AG-0165</t>
  </si>
  <si>
    <t xml:space="preserve">SW-TKT-05000177</t>
  </si>
  <si>
    <t xml:space="preserve">SW-CU-107221</t>
  </si>
  <si>
    <t xml:space="preserve">saurabh das</t>
  </si>
  <si>
    <t xml:space="preserve">SW-TKT-05000178</t>
  </si>
  <si>
    <t xml:space="preserve">SW-CU-104017</t>
  </si>
  <si>
    <t xml:space="preserve">KAVYA CHOPRA</t>
  </si>
  <si>
    <t xml:space="preserve">SW-TKT-05000179</t>
  </si>
  <si>
    <t xml:space="preserve">SW-CU-101864</t>
  </si>
  <si>
    <t xml:space="preserve">Divya Das</t>
  </si>
  <si>
    <t xml:space="preserve">SW-TKT-05000180</t>
  </si>
  <si>
    <t xml:space="preserve">SW-CU-105666</t>
  </si>
  <si>
    <t xml:space="preserve">pranav bhatia</t>
  </si>
  <si>
    <t xml:space="preserve">09/26/2025</t>
  </si>
  <si>
    <t xml:space="preserve">AG-0066</t>
  </si>
  <si>
    <t xml:space="preserve">SW-TKT-05000181</t>
  </si>
  <si>
    <t xml:space="preserve">SW-CU-100448</t>
  </si>
  <si>
    <t xml:space="preserve">Pooja Kumar</t>
  </si>
  <si>
    <t xml:space="preserve">AG-0029</t>
  </si>
  <si>
    <t xml:space="preserve">SW-TKT-05000182</t>
  </si>
  <si>
    <t xml:space="preserve">SW-CU-107746</t>
  </si>
  <si>
    <t xml:space="preserve">Aditya Verma</t>
  </si>
  <si>
    <t xml:space="preserve">07/27/2025</t>
  </si>
  <si>
    <t xml:space="preserve">SW-TKT-05000183</t>
  </si>
  <si>
    <t xml:space="preserve">SW-CU-106372</t>
  </si>
  <si>
    <t xml:space="preserve">Divya Singh</t>
  </si>
  <si>
    <t xml:space="preserve">SW-TKT-05000184</t>
  </si>
  <si>
    <t xml:space="preserve">SW-CU-105608</t>
  </si>
  <si>
    <t xml:space="preserve">Gaurav Singh</t>
  </si>
  <si>
    <t xml:space="preserve">23-09-2025</t>
  </si>
  <si>
    <t xml:space="preserve">SW-TKT-05000185</t>
  </si>
  <si>
    <t xml:space="preserve">SW-CU-101446</t>
  </si>
  <si>
    <t xml:space="preserve">Sanjay Menon</t>
  </si>
  <si>
    <t xml:space="preserve">09/10/2025</t>
  </si>
  <si>
    <t xml:space="preserve">SW-TKT-05000186</t>
  </si>
  <si>
    <t xml:space="preserve">SW-CU-100134</t>
  </si>
  <si>
    <t xml:space="preserve">Megha Agarwal</t>
  </si>
  <si>
    <t xml:space="preserve">15-07-2025</t>
  </si>
  <si>
    <t xml:space="preserve">SW-TKT-05000187</t>
  </si>
  <si>
    <t xml:space="preserve">SW-CU-105849</t>
  </si>
  <si>
    <t xml:space="preserve">Rajat Mehta</t>
  </si>
  <si>
    <t xml:space="preserve">2025-07-18</t>
  </si>
  <si>
    <t xml:space="preserve">AG-0015</t>
  </si>
  <si>
    <t xml:space="preserve">SW-TKT-05000188</t>
  </si>
  <si>
    <t xml:space="preserve">SW-CU-107738</t>
  </si>
  <si>
    <t xml:space="preserve">AG-0090</t>
  </si>
  <si>
    <t xml:space="preserve">SW-TKT-05000189</t>
  </si>
  <si>
    <t xml:space="preserve">SW-CU-106859</t>
  </si>
  <si>
    <t xml:space="preserve">megha mehta</t>
  </si>
  <si>
    <t xml:space="preserve">SW-TKT-05000190</t>
  </si>
  <si>
    <t xml:space="preserve">SW-CU-102364</t>
  </si>
  <si>
    <t xml:space="preserve">Kavya Kumar</t>
  </si>
  <si>
    <t xml:space="preserve">SW-TKT-05000191</t>
  </si>
  <si>
    <t xml:space="preserve">SW-CU-105873</t>
  </si>
  <si>
    <t xml:space="preserve">RAJAT SINGH</t>
  </si>
  <si>
    <t xml:space="preserve">2025-08-07</t>
  </si>
  <si>
    <t xml:space="preserve">AG-0065</t>
  </si>
  <si>
    <t xml:space="preserve">SW-TKT-05000192</t>
  </si>
  <si>
    <t xml:space="preserve">SW-CU-102979</t>
  </si>
  <si>
    <t xml:space="preserve">Anjali Sharma</t>
  </si>
  <si>
    <t xml:space="preserve">SW-TKT-05000193</t>
  </si>
  <si>
    <t xml:space="preserve">SW-CU-103427</t>
  </si>
  <si>
    <t xml:space="preserve">Nikhil Mehta</t>
  </si>
  <si>
    <t xml:space="preserve">SW-TKT-05000194</t>
  </si>
  <si>
    <t xml:space="preserve">SW-CU-105220</t>
  </si>
  <si>
    <t xml:space="preserve">Anjali Singh</t>
  </si>
  <si>
    <t xml:space="preserve">12-09-2025</t>
  </si>
  <si>
    <t xml:space="preserve">SW-TKT-05000195</t>
  </si>
  <si>
    <t xml:space="preserve">SW-CU-103796</t>
  </si>
  <si>
    <t xml:space="preserve">kritika menon</t>
  </si>
  <si>
    <t xml:space="preserve">07-08-2025</t>
  </si>
  <si>
    <t xml:space="preserve">SW-TKT-05000196</t>
  </si>
  <si>
    <t xml:space="preserve">SW-CU-100197</t>
  </si>
  <si>
    <t xml:space="preserve">Sanjay Sharma</t>
  </si>
  <si>
    <t xml:space="preserve">SW-TKT-05000197</t>
  </si>
  <si>
    <t xml:space="preserve">SW-CU-105127</t>
  </si>
  <si>
    <t xml:space="preserve">SHREYA SINGH</t>
  </si>
  <si>
    <t xml:space="preserve">SW-TKT-05000198</t>
  </si>
  <si>
    <t xml:space="preserve">SW-TKT-05000199</t>
  </si>
  <si>
    <t xml:space="preserve">SW-CU-106041</t>
  </si>
  <si>
    <t xml:space="preserve">arjun shah</t>
  </si>
  <si>
    <t xml:space="preserve">SW-TKT-05000200</t>
  </si>
  <si>
    <t xml:space="preserve">SW-CU-103760</t>
  </si>
  <si>
    <t xml:space="preserve">Nidhi Verma</t>
  </si>
  <si>
    <t xml:space="preserve">SW-TKT-05000201</t>
  </si>
  <si>
    <t xml:space="preserve">SW-CU-105772</t>
  </si>
  <si>
    <t xml:space="preserve">SW-TKT-05000202</t>
  </si>
  <si>
    <t xml:space="preserve">SW-CU-103246</t>
  </si>
  <si>
    <t xml:space="preserve">Sneha Shah</t>
  </si>
  <si>
    <t xml:space="preserve">SW-TKT-05000203</t>
  </si>
  <si>
    <t xml:space="preserve">SW-CU-103680</t>
  </si>
  <si>
    <t xml:space="preserve">Deepak Das</t>
  </si>
  <si>
    <t xml:space="preserve">AG-0063</t>
  </si>
  <si>
    <t xml:space="preserve">SW-TKT-05000204</t>
  </si>
  <si>
    <t xml:space="preserve">SW-CU-100811</t>
  </si>
  <si>
    <t xml:space="preserve">Karan Bose</t>
  </si>
  <si>
    <t xml:space="preserve">SW-TKT-05000205</t>
  </si>
  <si>
    <t xml:space="preserve">SW-CU-107977</t>
  </si>
  <si>
    <t xml:space="preserve">Suresh Mehta</t>
  </si>
  <si>
    <t xml:space="preserve">AG-0158</t>
  </si>
  <si>
    <t xml:space="preserve">SW-TKT-05000206</t>
  </si>
  <si>
    <t xml:space="preserve">SW-CU-107057</t>
  </si>
  <si>
    <t xml:space="preserve">ravi das</t>
  </si>
  <si>
    <t xml:space="preserve">03-07-2025</t>
  </si>
  <si>
    <t xml:space="preserve">SW-TKT-05000207</t>
  </si>
  <si>
    <t xml:space="preserve">SW-CU-101560</t>
  </si>
  <si>
    <t xml:space="preserve">Ishita Joshi</t>
  </si>
  <si>
    <t xml:space="preserve">SW-TKT-05000208</t>
  </si>
  <si>
    <t xml:space="preserve">SW-CU-103201</t>
  </si>
  <si>
    <t xml:space="preserve">ankit bhatia</t>
  </si>
  <si>
    <t xml:space="preserve">SW-TKT-05000209</t>
  </si>
  <si>
    <t xml:space="preserve">SW-CU-106554</t>
  </si>
  <si>
    <t xml:space="preserve">ankit patel</t>
  </si>
  <si>
    <t xml:space="preserve">AG-0160</t>
  </si>
  <si>
    <t xml:space="preserve">SW-TKT-05000210</t>
  </si>
  <si>
    <t xml:space="preserve">SW-CU-101587</t>
  </si>
  <si>
    <t xml:space="preserve">Anjali Joshi</t>
  </si>
  <si>
    <t xml:space="preserve">10-07-2025</t>
  </si>
  <si>
    <t xml:space="preserve">SW-TKT-05000211</t>
  </si>
  <si>
    <t xml:space="preserve">SW-CU-105496</t>
  </si>
  <si>
    <t xml:space="preserve">Ishita Menon</t>
  </si>
  <si>
    <t xml:space="preserve">SW-TKT-05000212</t>
  </si>
  <si>
    <t xml:space="preserve">SW-CU-104619</t>
  </si>
  <si>
    <t xml:space="preserve">SW-TKT-05000213</t>
  </si>
  <si>
    <t xml:space="preserve">SW-CU-101137</t>
  </si>
  <si>
    <t xml:space="preserve">Isha Menon</t>
  </si>
  <si>
    <t xml:space="preserve">08/15/2025</t>
  </si>
  <si>
    <t xml:space="preserve">SW-TKT-05000214</t>
  </si>
  <si>
    <t xml:space="preserve">SW-CU-104830</t>
  </si>
  <si>
    <t xml:space="preserve">Aarti Das</t>
  </si>
  <si>
    <t xml:space="preserve">SW-TKT-05000215</t>
  </si>
  <si>
    <t xml:space="preserve">SW-CU-106120</t>
  </si>
  <si>
    <t xml:space="preserve">Tanvi Joshi</t>
  </si>
  <si>
    <t xml:space="preserve">07/13/2025</t>
  </si>
  <si>
    <t xml:space="preserve">AG-0008</t>
  </si>
  <si>
    <t xml:space="preserve">SW-TKT-05000216</t>
  </si>
  <si>
    <t xml:space="preserve">SW-CU-104677</t>
  </si>
  <si>
    <t xml:space="preserve">Rohan Sharma</t>
  </si>
  <si>
    <t xml:space="preserve">2025-07-26</t>
  </si>
  <si>
    <t xml:space="preserve">SW-TKT-05000217</t>
  </si>
  <si>
    <t xml:space="preserve">SW-CU-102525</t>
  </si>
  <si>
    <t xml:space="preserve">ananya malhotra</t>
  </si>
  <si>
    <t xml:space="preserve">SW-TKT-05000218</t>
  </si>
  <si>
    <t xml:space="preserve">SW-CU-102959</t>
  </si>
  <si>
    <t xml:space="preserve">21-07-2025</t>
  </si>
  <si>
    <t xml:space="preserve">AG-0141</t>
  </si>
  <si>
    <t xml:space="preserve">SW-TKT-05000219</t>
  </si>
  <si>
    <t xml:space="preserve">SW-CU-103804</t>
  </si>
  <si>
    <t xml:space="preserve">Karan Agarwal</t>
  </si>
  <si>
    <t xml:space="preserve">AG-0082</t>
  </si>
  <si>
    <t xml:space="preserve">SW-TKT-05000220</t>
  </si>
  <si>
    <t xml:space="preserve">SW-CU-104449</t>
  </si>
  <si>
    <t xml:space="preserve">aarti agarwal</t>
  </si>
  <si>
    <t xml:space="preserve">2025-09-27</t>
  </si>
  <si>
    <t xml:space="preserve">SW-TKT-05000221</t>
  </si>
  <si>
    <t xml:space="preserve">SW-CU-102986</t>
  </si>
  <si>
    <t xml:space="preserve">manish reddy</t>
  </si>
  <si>
    <t xml:space="preserve">08/07/2025</t>
  </si>
  <si>
    <t xml:space="preserve">SW-TKT-05000222</t>
  </si>
  <si>
    <t xml:space="preserve">SW-CU-104400</t>
  </si>
  <si>
    <t xml:space="preserve">Megha Bose</t>
  </si>
  <si>
    <t xml:space="preserve">SW-TKT-05000223</t>
  </si>
  <si>
    <t xml:space="preserve">SW-CU-105771</t>
  </si>
  <si>
    <t xml:space="preserve">08/09/2025</t>
  </si>
  <si>
    <t xml:space="preserve">SW-TKT-05000224</t>
  </si>
  <si>
    <t xml:space="preserve">SW-CU-105308</t>
  </si>
  <si>
    <t xml:space="preserve">Manish Kumar</t>
  </si>
  <si>
    <t xml:space="preserve">09/13/2025</t>
  </si>
  <si>
    <t xml:space="preserve">SW-TKT-05000225</t>
  </si>
  <si>
    <t xml:space="preserve">SW-CU-107851</t>
  </si>
  <si>
    <t xml:space="preserve">2025-07-05</t>
  </si>
  <si>
    <t xml:space="preserve">SW-TKT-05000226</t>
  </si>
  <si>
    <t xml:space="preserve">SW-CU-105444</t>
  </si>
  <si>
    <t xml:space="preserve">RAVI BHATIA</t>
  </si>
  <si>
    <t xml:space="preserve">SW-TKT-05000227</t>
  </si>
  <si>
    <t xml:space="preserve">SW-CU-101204</t>
  </si>
  <si>
    <t xml:space="preserve">09/04/2025</t>
  </si>
  <si>
    <t xml:space="preserve">SW-TKT-05000228</t>
  </si>
  <si>
    <t xml:space="preserve">SW-CU-103840</t>
  </si>
  <si>
    <t xml:space="preserve">Ajay Bose</t>
  </si>
  <si>
    <t xml:space="preserve">09/02/2025</t>
  </si>
  <si>
    <t xml:space="preserve">SW-TKT-05000229</t>
  </si>
  <si>
    <t xml:space="preserve">SW-CU-104025</t>
  </si>
  <si>
    <t xml:space="preserve">Pranav Agarwal</t>
  </si>
  <si>
    <t xml:space="preserve">SW-TKT-05000230</t>
  </si>
  <si>
    <t xml:space="preserve">SW-CU-106540</t>
  </si>
  <si>
    <t xml:space="preserve">08/28/2025</t>
  </si>
  <si>
    <t xml:space="preserve">SW-TKT-05000231</t>
  </si>
  <si>
    <t xml:space="preserve">SW-CU-105807</t>
  </si>
  <si>
    <t xml:space="preserve">Rajat Chopra</t>
  </si>
  <si>
    <t xml:space="preserve">2025-09-01</t>
  </si>
  <si>
    <t xml:space="preserve">AG-0167</t>
  </si>
  <si>
    <t xml:space="preserve">SW-TKT-05000232</t>
  </si>
  <si>
    <t xml:space="preserve">SW-CU-104893</t>
  </si>
  <si>
    <t xml:space="preserve">SW-TKT-05000233</t>
  </si>
  <si>
    <t xml:space="preserve">SW-CU-107008</t>
  </si>
  <si>
    <t xml:space="preserve">Pooja Iyer</t>
  </si>
  <si>
    <t xml:space="preserve">SW-TKT-05000234</t>
  </si>
  <si>
    <t xml:space="preserve">SW-CU-103420</t>
  </si>
  <si>
    <t xml:space="preserve">Ishita Kumar</t>
  </si>
  <si>
    <t xml:space="preserve">SW-TKT-05000235</t>
  </si>
  <si>
    <t xml:space="preserve">SW-CU-103424</t>
  </si>
  <si>
    <t xml:space="preserve">Aniket Malhotra</t>
  </si>
  <si>
    <t xml:space="preserve">SW-TKT-05000236</t>
  </si>
  <si>
    <t xml:space="preserve">SW-CU-106929</t>
  </si>
  <si>
    <t xml:space="preserve">Anjali Nair</t>
  </si>
  <si>
    <t xml:space="preserve">SW-TKT-05000237</t>
  </si>
  <si>
    <t xml:space="preserve">SW-CU-105492</t>
  </si>
  <si>
    <t xml:space="preserve">Aniket Kapoor</t>
  </si>
  <si>
    <t xml:space="preserve">2025-09-18</t>
  </si>
  <si>
    <t xml:space="preserve">SW-TKT-05000238</t>
  </si>
  <si>
    <t xml:space="preserve">SW-CU-104759</t>
  </si>
  <si>
    <t xml:space="preserve">amit chopra</t>
  </si>
  <si>
    <t xml:space="preserve">19-09-2025</t>
  </si>
  <si>
    <t xml:space="preserve">AG-0017</t>
  </si>
  <si>
    <t xml:space="preserve">SW-TKT-05000239</t>
  </si>
  <si>
    <t xml:space="preserve">SW-CU-106794</t>
  </si>
  <si>
    <t xml:space="preserve">Rajat Sharma</t>
  </si>
  <si>
    <t xml:space="preserve">SW-TKT-05000240</t>
  </si>
  <si>
    <t xml:space="preserve">SW-CU-105938</t>
  </si>
  <si>
    <t xml:space="preserve">SW-TKT-05000241</t>
  </si>
  <si>
    <t xml:space="preserve">SW-CU-103251</t>
  </si>
  <si>
    <t xml:space="preserve">Ishita Iyer</t>
  </si>
  <si>
    <t xml:space="preserve">07-07-2025</t>
  </si>
  <si>
    <t xml:space="preserve">SW-TKT-05000242</t>
  </si>
  <si>
    <t xml:space="preserve">SW-CU-100816</t>
  </si>
  <si>
    <t xml:space="preserve">07/14/2025</t>
  </si>
  <si>
    <t xml:space="preserve">AG-0047</t>
  </si>
  <si>
    <t xml:space="preserve">SW-TKT-05000243</t>
  </si>
  <si>
    <t xml:space="preserve">SW-CU-103436</t>
  </si>
  <si>
    <t xml:space="preserve">vikram iyer</t>
  </si>
  <si>
    <t xml:space="preserve">SW-TKT-05000244</t>
  </si>
  <si>
    <t xml:space="preserve">SW-CU-100674</t>
  </si>
  <si>
    <t xml:space="preserve">08/14/2025</t>
  </si>
  <si>
    <t xml:space="preserve">SW-TKT-05000245</t>
  </si>
  <si>
    <t xml:space="preserve">SW-CU-104452</t>
  </si>
  <si>
    <t xml:space="preserve">Aniket Menon</t>
  </si>
  <si>
    <t xml:space="preserve">SW-TKT-05000246</t>
  </si>
  <si>
    <t xml:space="preserve">SW-CU-103188</t>
  </si>
  <si>
    <t xml:space="preserve">SW-TKT-05000247</t>
  </si>
  <si>
    <t xml:space="preserve">SW-CU-103322</t>
  </si>
  <si>
    <t xml:space="preserve">RAHUL VERMA</t>
  </si>
  <si>
    <t xml:space="preserve">AG-0083</t>
  </si>
  <si>
    <t xml:space="preserve">SW-TKT-05000248</t>
  </si>
  <si>
    <t xml:space="preserve">SW-CU-101520</t>
  </si>
  <si>
    <t xml:space="preserve">Riya Malhotra</t>
  </si>
  <si>
    <t xml:space="preserve">SW-TKT-05000249</t>
  </si>
  <si>
    <t xml:space="preserve">SW-CU-105017</t>
  </si>
  <si>
    <t xml:space="preserve">Sneha Bose</t>
  </si>
  <si>
    <t xml:space="preserve">AG-0131</t>
  </si>
  <si>
    <t xml:space="preserve">SW-TKT-05000250</t>
  </si>
  <si>
    <t xml:space="preserve">SW-CU-106316</t>
  </si>
  <si>
    <t xml:space="preserve">meera sharma</t>
  </si>
  <si>
    <t xml:space="preserve">AG-0053</t>
  </si>
  <si>
    <t xml:space="preserve">SW-TKT-05000251</t>
  </si>
  <si>
    <t xml:space="preserve">SW-CU-103017</t>
  </si>
  <si>
    <t xml:space="preserve">ajay menon</t>
  </si>
  <si>
    <t xml:space="preserve">09/21/2025</t>
  </si>
  <si>
    <t xml:space="preserve">SW-TKT-05000252</t>
  </si>
  <si>
    <t xml:space="preserve">SW-CU-101513</t>
  </si>
  <si>
    <t xml:space="preserve">Pooja Nair</t>
  </si>
  <si>
    <t xml:space="preserve">09/24/2025</t>
  </si>
  <si>
    <t xml:space="preserve">AG-0115</t>
  </si>
  <si>
    <t xml:space="preserve">SW-TKT-05000253</t>
  </si>
  <si>
    <t xml:space="preserve">SW-CU-100262</t>
  </si>
  <si>
    <t xml:space="preserve">manish das</t>
  </si>
  <si>
    <t xml:space="preserve">SW-TKT-05000254</t>
  </si>
  <si>
    <t xml:space="preserve">SW-CU-102989</t>
  </si>
  <si>
    <t xml:space="preserve">Priya Mehta</t>
  </si>
  <si>
    <t xml:space="preserve">SW-TKT-05000255</t>
  </si>
  <si>
    <t xml:space="preserve">SW-CU-102894</t>
  </si>
  <si>
    <t xml:space="preserve">Ravi Gupta</t>
  </si>
  <si>
    <t xml:space="preserve">AG-0127</t>
  </si>
  <si>
    <t xml:space="preserve">SW-TKT-05000256</t>
  </si>
  <si>
    <t xml:space="preserve">SW-CU-101130</t>
  </si>
  <si>
    <t xml:space="preserve">Saurabh Menon</t>
  </si>
  <si>
    <t xml:space="preserve">AG-0107</t>
  </si>
  <si>
    <t xml:space="preserve">SW-TKT-05000257</t>
  </si>
  <si>
    <t xml:space="preserve">SW-CU-104194</t>
  </si>
  <si>
    <t xml:space="preserve">amit das</t>
  </si>
  <si>
    <t xml:space="preserve">AG-0046</t>
  </si>
  <si>
    <t xml:space="preserve">SW-TKT-05000258</t>
  </si>
  <si>
    <t xml:space="preserve">SW-CU-107663</t>
  </si>
  <si>
    <t xml:space="preserve">Riya Joshi</t>
  </si>
  <si>
    <t xml:space="preserve">AG-0128</t>
  </si>
  <si>
    <t xml:space="preserve">SW-TKT-05000259</t>
  </si>
  <si>
    <t xml:space="preserve">SW-CU-107364</t>
  </si>
  <si>
    <t xml:space="preserve">divya das</t>
  </si>
  <si>
    <t xml:space="preserve">SW-TKT-05000260</t>
  </si>
  <si>
    <t xml:space="preserve">SW-CU-105754</t>
  </si>
  <si>
    <t xml:space="preserve">Rahul Reddy</t>
  </si>
  <si>
    <t xml:space="preserve">SW-TKT-05000261</t>
  </si>
  <si>
    <t xml:space="preserve">SW-CU-103668</t>
  </si>
  <si>
    <t xml:space="preserve">Karan Singh</t>
  </si>
  <si>
    <t xml:space="preserve">AG-0086</t>
  </si>
  <si>
    <t xml:space="preserve">SW-TKT-05000262</t>
  </si>
  <si>
    <t xml:space="preserve">SW-CU-106750</t>
  </si>
  <si>
    <t xml:space="preserve">Kavya Sharma</t>
  </si>
  <si>
    <t xml:space="preserve">AG-0146</t>
  </si>
  <si>
    <t xml:space="preserve">SW-TKT-05000263</t>
  </si>
  <si>
    <t xml:space="preserve">SW-CU-101780</t>
  </si>
  <si>
    <t xml:space="preserve">Nikhil Iyer</t>
  </si>
  <si>
    <t xml:space="preserve">SW-TKT-05000264</t>
  </si>
  <si>
    <t xml:space="preserve">SW-CU-103720</t>
  </si>
  <si>
    <t xml:space="preserve">Arjun Bhatia</t>
  </si>
  <si>
    <t xml:space="preserve">25-09-2025</t>
  </si>
  <si>
    <t xml:space="preserve">SW-TKT-05000265</t>
  </si>
  <si>
    <t xml:space="preserve">SW-CU-103171</t>
  </si>
  <si>
    <t xml:space="preserve">Aniket Kumar</t>
  </si>
  <si>
    <t xml:space="preserve">SW-TKT-05000266</t>
  </si>
  <si>
    <t xml:space="preserve">SW-CU-104176</t>
  </si>
  <si>
    <t xml:space="preserve">Aditya Menon</t>
  </si>
  <si>
    <t xml:space="preserve">SW-TKT-05000267</t>
  </si>
  <si>
    <t xml:space="preserve">SW-CU-104122</t>
  </si>
  <si>
    <t xml:space="preserve">20-08-2025</t>
  </si>
  <si>
    <t xml:space="preserve">SW-TKT-05000268</t>
  </si>
  <si>
    <t xml:space="preserve">SW-CU-103372</t>
  </si>
  <si>
    <t xml:space="preserve">Aniket Singh</t>
  </si>
  <si>
    <t xml:space="preserve">AG-0166</t>
  </si>
  <si>
    <t xml:space="preserve">SW-TKT-05000269</t>
  </si>
  <si>
    <t xml:space="preserve">SW-CU-105669</t>
  </si>
  <si>
    <t xml:space="preserve">Amit Verma</t>
  </si>
  <si>
    <t xml:space="preserve">07/17/2025</t>
  </si>
  <si>
    <t xml:space="preserve">SW-TKT-05000270</t>
  </si>
  <si>
    <t xml:space="preserve">SW-CU-105653</t>
  </si>
  <si>
    <t xml:space="preserve">Nikhil Malhotra</t>
  </si>
  <si>
    <t xml:space="preserve">SW-TKT-05000271</t>
  </si>
  <si>
    <t xml:space="preserve">SW-CU-101631</t>
  </si>
  <si>
    <t xml:space="preserve">Vikram Singh</t>
  </si>
  <si>
    <t xml:space="preserve">08-08-2025</t>
  </si>
  <si>
    <t xml:space="preserve">SW-TKT-05000272</t>
  </si>
  <si>
    <t xml:space="preserve">SW-CU-106701</t>
  </si>
  <si>
    <t xml:space="preserve">Nikhil Kumar</t>
  </si>
  <si>
    <t xml:space="preserve">AG-0150</t>
  </si>
  <si>
    <t xml:space="preserve">SW-TKT-05000273</t>
  </si>
  <si>
    <t xml:space="preserve">SW-CU-100159</t>
  </si>
  <si>
    <t xml:space="preserve">Rahul Patel</t>
  </si>
  <si>
    <t xml:space="preserve">SW-TKT-05000274</t>
  </si>
  <si>
    <t xml:space="preserve">SW-CU-104865</t>
  </si>
  <si>
    <t xml:space="preserve">nidhi singh</t>
  </si>
  <si>
    <t xml:space="preserve">SW-TKT-05000275</t>
  </si>
  <si>
    <t xml:space="preserve">SW-CU-106004</t>
  </si>
  <si>
    <t xml:space="preserve">Pooja Kapoor</t>
  </si>
  <si>
    <t xml:space="preserve">SW-TKT-05000276</t>
  </si>
  <si>
    <t xml:space="preserve">SW-CU-104702</t>
  </si>
  <si>
    <t xml:space="preserve">pooja singh</t>
  </si>
  <si>
    <t xml:space="preserve">AG-0059</t>
  </si>
  <si>
    <t xml:space="preserve">SW-TKT-05000277</t>
  </si>
  <si>
    <t xml:space="preserve">SW-CU-105920</t>
  </si>
  <si>
    <t xml:space="preserve">PRIYA PATEL</t>
  </si>
  <si>
    <t xml:space="preserve">09/09/2025</t>
  </si>
  <si>
    <t xml:space="preserve">SW-TKT-05000278</t>
  </si>
  <si>
    <t xml:space="preserve">SW-CU-107728</t>
  </si>
  <si>
    <t xml:space="preserve">rohan bhatia</t>
  </si>
  <si>
    <t xml:space="preserve">AG-0021</t>
  </si>
  <si>
    <t xml:space="preserve">SW-TKT-05000279</t>
  </si>
  <si>
    <t xml:space="preserve">SW-CU-106683</t>
  </si>
  <si>
    <t xml:space="preserve">2025-09-16</t>
  </si>
  <si>
    <t xml:space="preserve">AG-0049</t>
  </si>
  <si>
    <t xml:space="preserve">SW-TKT-05000280</t>
  </si>
  <si>
    <t xml:space="preserve">SW-CU-103886</t>
  </si>
  <si>
    <t xml:space="preserve">Ravi Iyer</t>
  </si>
  <si>
    <t xml:space="preserve">15-09-2025</t>
  </si>
  <si>
    <t xml:space="preserve">SW-TKT-05000281</t>
  </si>
  <si>
    <t xml:space="preserve">SW-CU-106513</t>
  </si>
  <si>
    <t xml:space="preserve">Arjun Joshi</t>
  </si>
  <si>
    <t xml:space="preserve">12-08-2025</t>
  </si>
  <si>
    <t xml:space="preserve">AG-0111</t>
  </si>
  <si>
    <t xml:space="preserve">SW-TKT-05000282</t>
  </si>
  <si>
    <t xml:space="preserve">SW-CU-105693</t>
  </si>
  <si>
    <t xml:space="preserve">Kritika Chopra</t>
  </si>
  <si>
    <t xml:space="preserve">AG-0023</t>
  </si>
  <si>
    <t xml:space="preserve">SW-TKT-05000283</t>
  </si>
  <si>
    <t xml:space="preserve">SW-CU-103390</t>
  </si>
  <si>
    <t xml:space="preserve">Karan Das</t>
  </si>
  <si>
    <t xml:space="preserve">2025-07-19</t>
  </si>
  <si>
    <t xml:space="preserve">SW-TKT-05000284</t>
  </si>
  <si>
    <t xml:space="preserve">SW-CU-105861</t>
  </si>
  <si>
    <t xml:space="preserve">Shreya Iyer</t>
  </si>
  <si>
    <t xml:space="preserve">25-07-2025</t>
  </si>
  <si>
    <t xml:space="preserve">SW-TKT-05000285</t>
  </si>
  <si>
    <t xml:space="preserve">SW-CU-104727</t>
  </si>
  <si>
    <t xml:space="preserve">Ankit Patel</t>
  </si>
  <si>
    <t xml:space="preserve">SW-TKT-05000286</t>
  </si>
  <si>
    <t xml:space="preserve">SW-CU-101196</t>
  </si>
  <si>
    <t xml:space="preserve">2025-08-19</t>
  </si>
  <si>
    <t xml:space="preserve">AG-0036</t>
  </si>
  <si>
    <t xml:space="preserve">SW-TKT-05000287</t>
  </si>
  <si>
    <t xml:space="preserve">SW-CU-104203</t>
  </si>
  <si>
    <t xml:space="preserve">AG-0152</t>
  </si>
  <si>
    <t xml:space="preserve">SW-TKT-05000288</t>
  </si>
  <si>
    <t xml:space="preserve">SW-CU-101040</t>
  </si>
  <si>
    <t xml:space="preserve">07/12/2025</t>
  </si>
  <si>
    <t xml:space="preserve">SW-TKT-05000289</t>
  </si>
  <si>
    <t xml:space="preserve">SW-CU-103250</t>
  </si>
  <si>
    <t xml:space="preserve">SW-TKT-05000290</t>
  </si>
  <si>
    <t xml:space="preserve">SW-CU-107089</t>
  </si>
  <si>
    <t xml:space="preserve">Saurabh Joshi</t>
  </si>
  <si>
    <t xml:space="preserve">AG-0089</t>
  </si>
  <si>
    <t xml:space="preserve">SW-TKT-05000291</t>
  </si>
  <si>
    <t xml:space="preserve">SW-CU-107382</t>
  </si>
  <si>
    <t xml:space="preserve">Manish Joshi</t>
  </si>
  <si>
    <t xml:space="preserve">SW-TKT-05000292</t>
  </si>
  <si>
    <t xml:space="preserve">SW-CU-103458</t>
  </si>
  <si>
    <t xml:space="preserve">AG-0148</t>
  </si>
  <si>
    <t xml:space="preserve">SW-TKT-05000293</t>
  </si>
  <si>
    <t xml:space="preserve">SW-CU-100835</t>
  </si>
  <si>
    <t xml:space="preserve">16-07-2025</t>
  </si>
  <si>
    <t xml:space="preserve">SW-TKT-05000294</t>
  </si>
  <si>
    <t xml:space="preserve">SW-CU-102602</t>
  </si>
  <si>
    <t xml:space="preserve">sneha malhotra</t>
  </si>
  <si>
    <t xml:space="preserve">SW-TKT-05000295</t>
  </si>
  <si>
    <t xml:space="preserve">SW-CU-103714</t>
  </si>
  <si>
    <t xml:space="preserve">2025-09-20</t>
  </si>
  <si>
    <t xml:space="preserve">AG-0031</t>
  </si>
  <si>
    <t xml:space="preserve">SW-TKT-05000296</t>
  </si>
  <si>
    <t xml:space="preserve">SW-CU-107713</t>
  </si>
  <si>
    <t xml:space="preserve">2025-07-13</t>
  </si>
  <si>
    <t xml:space="preserve">AG-0108</t>
  </si>
  <si>
    <t xml:space="preserve">SW-TKT-05000297</t>
  </si>
  <si>
    <t xml:space="preserve">SW-CU-101439</t>
  </si>
  <si>
    <t xml:space="preserve">Priya Singh</t>
  </si>
  <si>
    <t xml:space="preserve">SW-TKT-05000298</t>
  </si>
  <si>
    <t xml:space="preserve">SW-CU-102631</t>
  </si>
  <si>
    <t xml:space="preserve">Rahul Gupta</t>
  </si>
  <si>
    <t xml:space="preserve">08/29/2025</t>
  </si>
  <si>
    <t xml:space="preserve">AG-0105</t>
  </si>
  <si>
    <t xml:space="preserve">SW-TKT-05000299</t>
  </si>
  <si>
    <t xml:space="preserve">SW-CU-100139</t>
  </si>
  <si>
    <t xml:space="preserve">SW-TKT-05000300</t>
  </si>
  <si>
    <t xml:space="preserve">SW-CU-106289</t>
  </si>
  <si>
    <t xml:space="preserve">2025-07-17</t>
  </si>
  <si>
    <t xml:space="preserve">SW-TKT-05000301</t>
  </si>
  <si>
    <t xml:space="preserve">SW-CU-106483</t>
  </si>
  <si>
    <t xml:space="preserve">Sanjay Bhatia</t>
  </si>
  <si>
    <t xml:space="preserve">11-08-2025</t>
  </si>
  <si>
    <t xml:space="preserve">SW-TKT-05000302</t>
  </si>
  <si>
    <t xml:space="preserve">SW-CU-105307</t>
  </si>
  <si>
    <t xml:space="preserve">Kritika Patel</t>
  </si>
  <si>
    <t xml:space="preserve">07/03/2025</t>
  </si>
  <si>
    <t xml:space="preserve">SW-TKT-05000303</t>
  </si>
  <si>
    <t xml:space="preserve">SW-CU-101240</t>
  </si>
  <si>
    <t xml:space="preserve">Karan Nair</t>
  </si>
  <si>
    <t xml:space="preserve">12-07-2025</t>
  </si>
  <si>
    <t xml:space="preserve">SW-TKT-05000304</t>
  </si>
  <si>
    <t xml:space="preserve">SW-CU-106982</t>
  </si>
  <si>
    <t xml:space="preserve">06-08-2025</t>
  </si>
  <si>
    <t xml:space="preserve">SW-TKT-05000305</t>
  </si>
  <si>
    <t xml:space="preserve">SW-CU-106779</t>
  </si>
  <si>
    <t xml:space="preserve">divya bose</t>
  </si>
  <si>
    <t xml:space="preserve">07/19/2025</t>
  </si>
  <si>
    <t xml:space="preserve">SW-TKT-05000306</t>
  </si>
  <si>
    <t xml:space="preserve">SW-CU-103643</t>
  </si>
  <si>
    <t xml:space="preserve">ravi verma</t>
  </si>
  <si>
    <t xml:space="preserve">SW-TKT-05000307</t>
  </si>
  <si>
    <t xml:space="preserve">SW-CU-100516</t>
  </si>
  <si>
    <t xml:space="preserve">ishita gupta</t>
  </si>
  <si>
    <t xml:space="preserve">03-09-2025</t>
  </si>
  <si>
    <t xml:space="preserve">SW-TKT-05000308</t>
  </si>
  <si>
    <t xml:space="preserve">SW-CU-100204</t>
  </si>
  <si>
    <t xml:space="preserve">Priya Kumar</t>
  </si>
  <si>
    <t xml:space="preserve">09/07/2025</t>
  </si>
  <si>
    <t xml:space="preserve">SW-TKT-05000309</t>
  </si>
  <si>
    <t xml:space="preserve">SW-CU-102629</t>
  </si>
  <si>
    <t xml:space="preserve">07/01/2025</t>
  </si>
  <si>
    <t xml:space="preserve">SW-TKT-05000310</t>
  </si>
  <si>
    <t xml:space="preserve">SW-CU-106094</t>
  </si>
  <si>
    <t xml:space="preserve">08/18/2025</t>
  </si>
  <si>
    <t xml:space="preserve">SW-TKT-05000311</t>
  </si>
  <si>
    <t xml:space="preserve">SW-CU-100949</t>
  </si>
  <si>
    <t xml:space="preserve">Ananya Joshi</t>
  </si>
  <si>
    <t xml:space="preserve">SW-TKT-05000312</t>
  </si>
  <si>
    <t xml:space="preserve">SW-CU-103032</t>
  </si>
  <si>
    <t xml:space="preserve">sanjay kapoor</t>
  </si>
  <si>
    <t xml:space="preserve">SW-TKT-05000313</t>
  </si>
  <si>
    <t xml:space="preserve">SW-CU-107164</t>
  </si>
  <si>
    <t xml:space="preserve">Swati Menon</t>
  </si>
  <si>
    <t xml:space="preserve">SW-TKT-05000314</t>
  </si>
  <si>
    <t xml:space="preserve">SW-CU-100072</t>
  </si>
  <si>
    <t xml:space="preserve">Swati Agarwal</t>
  </si>
  <si>
    <t xml:space="preserve">SW-TKT-05000315</t>
  </si>
  <si>
    <t xml:space="preserve">SW-CU-105619</t>
  </si>
  <si>
    <t xml:space="preserve">Karan Joshi</t>
  </si>
  <si>
    <t xml:space="preserve">SW-TKT-05000316</t>
  </si>
  <si>
    <t xml:space="preserve">SW-CU-101397</t>
  </si>
  <si>
    <t xml:space="preserve">Saurabh Reddy</t>
  </si>
  <si>
    <t xml:space="preserve">SW-TKT-05000317</t>
  </si>
  <si>
    <t xml:space="preserve">SW-CU-101746</t>
  </si>
  <si>
    <t xml:space="preserve">Neha Das</t>
  </si>
  <si>
    <t xml:space="preserve">SW-TKT-05000318</t>
  </si>
  <si>
    <t xml:space="preserve">SW-CU-104275</t>
  </si>
  <si>
    <t xml:space="preserve">Gaurav Iyer</t>
  </si>
  <si>
    <t xml:space="preserve">SW-TKT-05000319</t>
  </si>
  <si>
    <t xml:space="preserve">SW-CU-101412</t>
  </si>
  <si>
    <t xml:space="preserve">SW-TKT-05000320</t>
  </si>
  <si>
    <t xml:space="preserve">SW-CU-101093</t>
  </si>
  <si>
    <t xml:space="preserve">Anjali Menon</t>
  </si>
  <si>
    <t xml:space="preserve">SW-TKT-05000321</t>
  </si>
  <si>
    <t xml:space="preserve">SW-CU-102451</t>
  </si>
  <si>
    <t xml:space="preserve">Suresh Verma</t>
  </si>
  <si>
    <t xml:space="preserve">2025-09-23</t>
  </si>
  <si>
    <t xml:space="preserve">SW-TKT-05000322</t>
  </si>
  <si>
    <t xml:space="preserve">SW-CU-105513</t>
  </si>
  <si>
    <t xml:space="preserve">Deepak Shah</t>
  </si>
  <si>
    <t xml:space="preserve">SW-TKT-05000323</t>
  </si>
  <si>
    <t xml:space="preserve">SW-CU-100453</t>
  </si>
  <si>
    <t xml:space="preserve">Meera Verma</t>
  </si>
  <si>
    <t xml:space="preserve">2025-09-04</t>
  </si>
  <si>
    <t xml:space="preserve">SW-TKT-05000324</t>
  </si>
  <si>
    <t xml:space="preserve">SW-CU-107848</t>
  </si>
  <si>
    <t xml:space="preserve">Amit Gupta</t>
  </si>
  <si>
    <t xml:space="preserve">SW-TKT-05000325</t>
  </si>
  <si>
    <t xml:space="preserve">SW-CU-106194</t>
  </si>
  <si>
    <t xml:space="preserve">SW-TKT-05000326</t>
  </si>
  <si>
    <t xml:space="preserve">SW-CU-102840</t>
  </si>
  <si>
    <t xml:space="preserve">Ritu Nair</t>
  </si>
  <si>
    <t xml:space="preserve">SW-TKT-05000327</t>
  </si>
  <si>
    <t xml:space="preserve">SW-CU-101129</t>
  </si>
  <si>
    <t xml:space="preserve">kavya joshi</t>
  </si>
  <si>
    <t xml:space="preserve">SW-TKT-05000328</t>
  </si>
  <si>
    <t xml:space="preserve">SW-CU-106478</t>
  </si>
  <si>
    <t xml:space="preserve">AG-0087</t>
  </si>
  <si>
    <t xml:space="preserve">SW-TKT-05000329</t>
  </si>
  <si>
    <t xml:space="preserve">SW-CU-102100</t>
  </si>
  <si>
    <t xml:space="preserve">isha das</t>
  </si>
  <si>
    <t xml:space="preserve">SW-TKT-05000330</t>
  </si>
  <si>
    <t xml:space="preserve">SW-CU-107356</t>
  </si>
  <si>
    <t xml:space="preserve">Shreya Chopra</t>
  </si>
  <si>
    <t xml:space="preserve">AG-0076</t>
  </si>
  <si>
    <t xml:space="preserve">SW-TKT-05000331</t>
  </si>
  <si>
    <t xml:space="preserve">SW-CU-100584</t>
  </si>
  <si>
    <t xml:space="preserve">Meera Agarwal</t>
  </si>
  <si>
    <t xml:space="preserve">SW-TKT-05000332</t>
  </si>
  <si>
    <t xml:space="preserve">SW-CU-100090</t>
  </si>
  <si>
    <t xml:space="preserve">POOJA NAIR</t>
  </si>
  <si>
    <t xml:space="preserve">27-09-2025</t>
  </si>
  <si>
    <t xml:space="preserve">SW-TKT-05000333</t>
  </si>
  <si>
    <t xml:space="preserve">SW-CU-102313</t>
  </si>
  <si>
    <t xml:space="preserve">Nidhi Nair</t>
  </si>
  <si>
    <t xml:space="preserve">08/17/2025</t>
  </si>
  <si>
    <t xml:space="preserve">SW-TKT-05000334</t>
  </si>
  <si>
    <t xml:space="preserve">SW-CU-101081</t>
  </si>
  <si>
    <t xml:space="preserve">Nidhi Iyer</t>
  </si>
  <si>
    <t xml:space="preserve">SW-TKT-05000335</t>
  </si>
  <si>
    <t xml:space="preserve">SW-CU-106411</t>
  </si>
  <si>
    <t xml:space="preserve">Kritika Bose</t>
  </si>
  <si>
    <t xml:space="preserve">SW-TKT-05000336</t>
  </si>
  <si>
    <t xml:space="preserve">SW-CU-104641</t>
  </si>
  <si>
    <t xml:space="preserve">Rahul Kapoor</t>
  </si>
  <si>
    <t xml:space="preserve">SW-TKT-05000337</t>
  </si>
  <si>
    <t xml:space="preserve">SW-TKT-05000338</t>
  </si>
  <si>
    <t xml:space="preserve">SW-CU-107515</t>
  </si>
  <si>
    <t xml:space="preserve">Megha Patel</t>
  </si>
  <si>
    <t xml:space="preserve">SW-TKT-05000339</t>
  </si>
  <si>
    <t xml:space="preserve">SW-CU-105452</t>
  </si>
  <si>
    <t xml:space="preserve">aarti gupta</t>
  </si>
  <si>
    <t xml:space="preserve">SW-TKT-05000340</t>
  </si>
  <si>
    <t xml:space="preserve">SW-CU-105075</t>
  </si>
  <si>
    <t xml:space="preserve">Aarti Patel</t>
  </si>
  <si>
    <t xml:space="preserve">2025-07-20</t>
  </si>
  <si>
    <t xml:space="preserve">SW-TKT-05000341</t>
  </si>
  <si>
    <t xml:space="preserve">SW-CU-104172</t>
  </si>
  <si>
    <t xml:space="preserve">Vikram Patel</t>
  </si>
  <si>
    <t xml:space="preserve">SW-TKT-05000342</t>
  </si>
  <si>
    <t xml:space="preserve">SW-TKT-05000343</t>
  </si>
  <si>
    <t xml:space="preserve">SW-TKT-05000344</t>
  </si>
  <si>
    <t xml:space="preserve">SW-CU-101712</t>
  </si>
  <si>
    <t xml:space="preserve">ishita kapoor</t>
  </si>
  <si>
    <t xml:space="preserve">SW-TKT-05000345</t>
  </si>
  <si>
    <t xml:space="preserve">SW-TKT-05000346</t>
  </si>
  <si>
    <t xml:space="preserve">SW-CU-103689</t>
  </si>
  <si>
    <t xml:space="preserve">SW-TKT-05000347</t>
  </si>
  <si>
    <t xml:space="preserve">SW-CU-102412</t>
  </si>
  <si>
    <t xml:space="preserve">Megha Iyer</t>
  </si>
  <si>
    <t xml:space="preserve">SW-TKT-05000348</t>
  </si>
  <si>
    <t xml:space="preserve">SW-CU-107304</t>
  </si>
  <si>
    <t xml:space="preserve">Ravi Chopra</t>
  </si>
  <si>
    <t xml:space="preserve">SW-TKT-05000349</t>
  </si>
  <si>
    <t xml:space="preserve">SW-CU-100268</t>
  </si>
  <si>
    <t xml:space="preserve">sneha menon</t>
  </si>
  <si>
    <t xml:space="preserve">07/24/2025</t>
  </si>
  <si>
    <t xml:space="preserve">AG-0054</t>
  </si>
  <si>
    <t xml:space="preserve">SW-TKT-05000350</t>
  </si>
  <si>
    <t xml:space="preserve">SW-CU-107096</t>
  </si>
  <si>
    <t xml:space="preserve">Isha Mehta</t>
  </si>
  <si>
    <t xml:space="preserve">SW-TKT-05000351</t>
  </si>
  <si>
    <t xml:space="preserve">SW-CU-105534</t>
  </si>
  <si>
    <t xml:space="preserve">RITU VERMA</t>
  </si>
  <si>
    <t xml:space="preserve">SW-TKT-05000352</t>
  </si>
  <si>
    <t xml:space="preserve">SW-CU-107766</t>
  </si>
  <si>
    <t xml:space="preserve">Rahul Menon</t>
  </si>
  <si>
    <t xml:space="preserve">2025-09-12</t>
  </si>
  <si>
    <t xml:space="preserve">SW-TKT-05000353</t>
  </si>
  <si>
    <t xml:space="preserve">SW-CU-102088</t>
  </si>
  <si>
    <t xml:space="preserve">07/28/2025</t>
  </si>
  <si>
    <t xml:space="preserve">SW-TKT-05000354</t>
  </si>
  <si>
    <t xml:space="preserve">SW-CU-100366</t>
  </si>
  <si>
    <t xml:space="preserve">Rohan Das</t>
  </si>
  <si>
    <t xml:space="preserve">2025-07-31</t>
  </si>
  <si>
    <t xml:space="preserve">SW-TKT-05000355</t>
  </si>
  <si>
    <t xml:space="preserve">SW-CU-101087</t>
  </si>
  <si>
    <t xml:space="preserve">Amit Das</t>
  </si>
  <si>
    <t xml:space="preserve">SW-TKT-05000356</t>
  </si>
  <si>
    <t xml:space="preserve">SW-CU-101557</t>
  </si>
  <si>
    <t xml:space="preserve">Nidhi Sharma</t>
  </si>
  <si>
    <t xml:space="preserve">2025-09-30</t>
  </si>
  <si>
    <t xml:space="preserve">AG-0125</t>
  </si>
  <si>
    <t xml:space="preserve">SW-TKT-05000357</t>
  </si>
  <si>
    <t xml:space="preserve">SW-CU-103060</t>
  </si>
  <si>
    <t xml:space="preserve">SW-TKT-05000358</t>
  </si>
  <si>
    <t xml:space="preserve">SW-CU-104581</t>
  </si>
  <si>
    <t xml:space="preserve">SW-TKT-05000359</t>
  </si>
  <si>
    <t xml:space="preserve">SW-CU-103825</t>
  </si>
  <si>
    <t xml:space="preserve">SW-TKT-05000360</t>
  </si>
  <si>
    <t xml:space="preserve">SW-CU-106253</t>
  </si>
  <si>
    <t xml:space="preserve">Ananya Malhotra</t>
  </si>
  <si>
    <t xml:space="preserve">SW-TKT-05000361</t>
  </si>
  <si>
    <t xml:space="preserve">SW-CU-102701</t>
  </si>
  <si>
    <t xml:space="preserve">Ravi Agarwal</t>
  </si>
  <si>
    <t xml:space="preserve">2025-09-07</t>
  </si>
  <si>
    <t xml:space="preserve">SW-TKT-05000362</t>
  </si>
  <si>
    <t xml:space="preserve">SW-CU-106125</t>
  </si>
  <si>
    <t xml:space="preserve">Suresh Bose</t>
  </si>
  <si>
    <t xml:space="preserve">SW-TKT-05000363</t>
  </si>
  <si>
    <t xml:space="preserve">SW-CU-105828</t>
  </si>
  <si>
    <t xml:space="preserve">Ravi Bhatia</t>
  </si>
  <si>
    <t xml:space="preserve">SW-TKT-05000364</t>
  </si>
  <si>
    <t xml:space="preserve">SW-CU-101904</t>
  </si>
  <si>
    <t xml:space="preserve">Manish Reddy</t>
  </si>
  <si>
    <t xml:space="preserve">04-09-2025</t>
  </si>
  <si>
    <t xml:space="preserve">SW-TKT-05000365</t>
  </si>
  <si>
    <t xml:space="preserve">SW-CU-103292</t>
  </si>
  <si>
    <t xml:space="preserve">Rahul Agarwal</t>
  </si>
  <si>
    <t xml:space="preserve">SW-TKT-05000366</t>
  </si>
  <si>
    <t xml:space="preserve">SW-CU-106645</t>
  </si>
  <si>
    <t xml:space="preserve">Ankit Kumar</t>
  </si>
  <si>
    <t xml:space="preserve">SW-TKT-05000367</t>
  </si>
  <si>
    <t xml:space="preserve">SW-CU-103963</t>
  </si>
  <si>
    <t xml:space="preserve">2025-08-23</t>
  </si>
  <si>
    <t xml:space="preserve">SW-TKT-05000368</t>
  </si>
  <si>
    <t xml:space="preserve">SW-CU-104079</t>
  </si>
  <si>
    <t xml:space="preserve">Megha Shah</t>
  </si>
  <si>
    <t xml:space="preserve">30-09-2025</t>
  </si>
  <si>
    <t xml:space="preserve">AG-0120</t>
  </si>
  <si>
    <t xml:space="preserve">SW-TKT-05000369</t>
  </si>
  <si>
    <t xml:space="preserve">SW-CU-104604</t>
  </si>
  <si>
    <t xml:space="preserve">rajat das</t>
  </si>
  <si>
    <t xml:space="preserve">09/17/2025</t>
  </si>
  <si>
    <t xml:space="preserve">SW-TKT-05000370</t>
  </si>
  <si>
    <t xml:space="preserve">SW-CU-101321</t>
  </si>
  <si>
    <t xml:space="preserve">neha iyer</t>
  </si>
  <si>
    <t xml:space="preserve">SW-TKT-05000371</t>
  </si>
  <si>
    <t xml:space="preserve">SW-CU-101187</t>
  </si>
  <si>
    <t xml:space="preserve">ishita patel</t>
  </si>
  <si>
    <t xml:space="preserve">SW-TKT-05000372</t>
  </si>
  <si>
    <t xml:space="preserve">SW-CU-103767</t>
  </si>
  <si>
    <t xml:space="preserve">Swati Verma</t>
  </si>
  <si>
    <t xml:space="preserve">SW-TKT-05000373</t>
  </si>
  <si>
    <t xml:space="preserve">SW-CU-105378</t>
  </si>
  <si>
    <t xml:space="preserve">RAJAT KAPOOR</t>
  </si>
  <si>
    <t xml:space="preserve">08/24/2025</t>
  </si>
  <si>
    <t xml:space="preserve">SW-TKT-05000374</t>
  </si>
  <si>
    <t xml:space="preserve">SW-CU-107330</t>
  </si>
  <si>
    <t xml:space="preserve">SW-TKT-05000375</t>
  </si>
  <si>
    <t xml:space="preserve">SW-CU-104481</t>
  </si>
  <si>
    <t xml:space="preserve">SW-TKT-05000376</t>
  </si>
  <si>
    <t xml:space="preserve">SW-CU-103928</t>
  </si>
  <si>
    <t xml:space="preserve">SW-TKT-05000377</t>
  </si>
  <si>
    <t xml:space="preserve">SW-CU-102541</t>
  </si>
  <si>
    <t xml:space="preserve">Aarti Verma</t>
  </si>
  <si>
    <t xml:space="preserve">SW-TKT-05000378</t>
  </si>
  <si>
    <t xml:space="preserve">SW-CU-103493</t>
  </si>
  <si>
    <t xml:space="preserve">Megha Mehta</t>
  </si>
  <si>
    <t xml:space="preserve">17-07-2025</t>
  </si>
  <si>
    <t xml:space="preserve">SW-TKT-05000379</t>
  </si>
  <si>
    <t xml:space="preserve">SW-CU-107652</t>
  </si>
  <si>
    <t xml:space="preserve">SW-TKT-05000380</t>
  </si>
  <si>
    <t xml:space="preserve">SW-CU-105007</t>
  </si>
  <si>
    <t xml:space="preserve">Meera Das</t>
  </si>
  <si>
    <t xml:space="preserve">SW-TKT-05000381</t>
  </si>
  <si>
    <t xml:space="preserve">SW-CU-105424</t>
  </si>
  <si>
    <t xml:space="preserve">Tanvi Agarwal</t>
  </si>
  <si>
    <t xml:space="preserve">SW-TKT-05000382</t>
  </si>
  <si>
    <t xml:space="preserve">SW-CU-105825</t>
  </si>
  <si>
    <t xml:space="preserve">Amit Bose</t>
  </si>
  <si>
    <t xml:space="preserve">SW-TKT-05000383</t>
  </si>
  <si>
    <t xml:space="preserve">SW-CU-107323</t>
  </si>
  <si>
    <t xml:space="preserve">11-07-2025</t>
  </si>
  <si>
    <t xml:space="preserve">SW-TKT-05000384</t>
  </si>
  <si>
    <t xml:space="preserve">SW-CU-107791</t>
  </si>
  <si>
    <t xml:space="preserve">pranav shah</t>
  </si>
  <si>
    <t xml:space="preserve">AG-0170</t>
  </si>
  <si>
    <t xml:space="preserve">SW-TKT-05000385</t>
  </si>
  <si>
    <t xml:space="preserve">SW-CU-103891</t>
  </si>
  <si>
    <t xml:space="preserve">rohan singh</t>
  </si>
  <si>
    <t xml:space="preserve">SW-TKT-05000386</t>
  </si>
  <si>
    <t xml:space="preserve">SW-CU-105918</t>
  </si>
  <si>
    <t xml:space="preserve">Neha Kumar</t>
  </si>
  <si>
    <t xml:space="preserve">SW-TKT-05000387</t>
  </si>
  <si>
    <t xml:space="preserve">SW-CU-101422</t>
  </si>
  <si>
    <t xml:space="preserve">07/06/2025</t>
  </si>
  <si>
    <t xml:space="preserve">SW-TKT-05000388</t>
  </si>
  <si>
    <t xml:space="preserve">SW-CU-106146</t>
  </si>
  <si>
    <t xml:space="preserve">Aarti Iyer</t>
  </si>
  <si>
    <t xml:space="preserve">20-07-2025</t>
  </si>
  <si>
    <t xml:space="preserve">SW-TKT-05000389</t>
  </si>
  <si>
    <t xml:space="preserve">SW-CU-102666</t>
  </si>
  <si>
    <t xml:space="preserve">ankit shah</t>
  </si>
  <si>
    <t xml:space="preserve">SW-TKT-05000390</t>
  </si>
  <si>
    <t xml:space="preserve">SW-CU-100386</t>
  </si>
  <si>
    <t xml:space="preserve">Riya Kumar</t>
  </si>
  <si>
    <t xml:space="preserve">SW-TKT-05000391</t>
  </si>
  <si>
    <t xml:space="preserve">SW-CU-103364</t>
  </si>
  <si>
    <t xml:space="preserve">Deepak Singh</t>
  </si>
  <si>
    <t xml:space="preserve">SW-TKT-05000392</t>
  </si>
  <si>
    <t xml:space="preserve">SW-CU-103375</t>
  </si>
  <si>
    <t xml:space="preserve">AG-0134</t>
  </si>
  <si>
    <t xml:space="preserve">SW-TKT-05000393</t>
  </si>
  <si>
    <t xml:space="preserve">SW-CU-101533</t>
  </si>
  <si>
    <t xml:space="preserve">isha nair</t>
  </si>
  <si>
    <t xml:space="preserve">SW-TKT-05000394</t>
  </si>
  <si>
    <t xml:space="preserve">SW-CU-102699</t>
  </si>
  <si>
    <t xml:space="preserve">Divya Chopra</t>
  </si>
  <si>
    <t xml:space="preserve">SW-TKT-05000395</t>
  </si>
  <si>
    <t xml:space="preserve">SW-CU-107359</t>
  </si>
  <si>
    <t xml:space="preserve">Aniket Das</t>
  </si>
  <si>
    <t xml:space="preserve">SW-TKT-05000396</t>
  </si>
  <si>
    <t xml:space="preserve">SW-CU-103384</t>
  </si>
  <si>
    <t xml:space="preserve">SW-TKT-05000397</t>
  </si>
  <si>
    <t xml:space="preserve">SW-CU-103197</t>
  </si>
  <si>
    <t xml:space="preserve">Rohan Bhatia</t>
  </si>
  <si>
    <t xml:space="preserve">SW-TKT-05000398</t>
  </si>
  <si>
    <t xml:space="preserve">SW-CU-106156</t>
  </si>
  <si>
    <t xml:space="preserve">Rohan Bose</t>
  </si>
  <si>
    <t xml:space="preserve">SW-TKT-05000399</t>
  </si>
  <si>
    <t xml:space="preserve">SW-CU-107548</t>
  </si>
  <si>
    <t xml:space="preserve">Divya Patel</t>
  </si>
  <si>
    <t xml:space="preserve">AG-0118</t>
  </si>
  <si>
    <t xml:space="preserve">SW-TKT-05000400</t>
  </si>
  <si>
    <t xml:space="preserve">SW-CU-105602</t>
  </si>
  <si>
    <t xml:space="preserve">ankit joshi</t>
  </si>
  <si>
    <t xml:space="preserve">SW-TKT-05000401</t>
  </si>
  <si>
    <t xml:space="preserve">SW-CU-105732</t>
  </si>
  <si>
    <t xml:space="preserve">Deepak Bose</t>
  </si>
  <si>
    <t xml:space="preserve">SW-TKT-05000402</t>
  </si>
  <si>
    <t xml:space="preserve">SW-CU-103839</t>
  </si>
  <si>
    <t xml:space="preserve">SW-TKT-05000403</t>
  </si>
  <si>
    <t xml:space="preserve">SW-CU-101082</t>
  </si>
  <si>
    <t xml:space="preserve">AJAY BHATIA</t>
  </si>
  <si>
    <t xml:space="preserve">SW-TKT-05000404</t>
  </si>
  <si>
    <t xml:space="preserve">SW-CU-104888</t>
  </si>
  <si>
    <t xml:space="preserve">Karan Bhatia</t>
  </si>
  <si>
    <t xml:space="preserve">SW-TKT-05000405</t>
  </si>
  <si>
    <t xml:space="preserve">SW-CU-103939</t>
  </si>
  <si>
    <t xml:space="preserve">Kritika Kapoor</t>
  </si>
  <si>
    <t xml:space="preserve">SW-TKT-05000406</t>
  </si>
  <si>
    <t xml:space="preserve">SW-CU-100356</t>
  </si>
  <si>
    <t xml:space="preserve">Sneha Iyer</t>
  </si>
  <si>
    <t xml:space="preserve">SW-TKT-05000407</t>
  </si>
  <si>
    <t xml:space="preserve">SW-TKT-05000408</t>
  </si>
  <si>
    <t xml:space="preserve">SW-CU-103738</t>
  </si>
  <si>
    <t xml:space="preserve">Aditya Chopra</t>
  </si>
  <si>
    <t xml:space="preserve">AG-0102</t>
  </si>
  <si>
    <t xml:space="preserve">SW-TKT-05000409</t>
  </si>
  <si>
    <t xml:space="preserve">SW-CU-102623</t>
  </si>
  <si>
    <t xml:space="preserve">Karan Kumar</t>
  </si>
  <si>
    <t xml:space="preserve">SW-TKT-05000410</t>
  </si>
  <si>
    <t xml:space="preserve">SW-CU-100849</t>
  </si>
  <si>
    <t xml:space="preserve">Tanvi Iyer</t>
  </si>
  <si>
    <t xml:space="preserve">SW-TKT-05000411</t>
  </si>
  <si>
    <t xml:space="preserve">SW-CU-100602</t>
  </si>
  <si>
    <t xml:space="preserve">ankit malhotra</t>
  </si>
  <si>
    <t xml:space="preserve">AG-0140</t>
  </si>
  <si>
    <t xml:space="preserve">SW-TKT-05000412</t>
  </si>
  <si>
    <t xml:space="preserve">SW-CU-106842</t>
  </si>
  <si>
    <t xml:space="preserve">Priya Reddy</t>
  </si>
  <si>
    <t xml:space="preserve">SW-TKT-05000413</t>
  </si>
  <si>
    <t xml:space="preserve">SW-CU-102265</t>
  </si>
  <si>
    <t xml:space="preserve">ANKIT MENON</t>
  </si>
  <si>
    <t xml:space="preserve">SW-TKT-05000414</t>
  </si>
  <si>
    <t xml:space="preserve">SW-CU-104106</t>
  </si>
  <si>
    <t xml:space="preserve">30-08-2025</t>
  </si>
  <si>
    <t xml:space="preserve">SW-TKT-05000415</t>
  </si>
  <si>
    <t xml:space="preserve">SW-CU-100084</t>
  </si>
  <si>
    <t xml:space="preserve">Aarti Joshi</t>
  </si>
  <si>
    <t xml:space="preserve">SW-TKT-05000416</t>
  </si>
  <si>
    <t xml:space="preserve">SW-CU-105556</t>
  </si>
  <si>
    <t xml:space="preserve">Amit Iyer</t>
  </si>
  <si>
    <t xml:space="preserve">SW-TKT-05000417</t>
  </si>
  <si>
    <t xml:space="preserve">SW-CU-106674</t>
  </si>
  <si>
    <t xml:space="preserve">Vikram Kapoor</t>
  </si>
  <si>
    <t xml:space="preserve">SW-TKT-05000418</t>
  </si>
  <si>
    <t xml:space="preserve">SW-CU-105248</t>
  </si>
  <si>
    <t xml:space="preserve">SW-TKT-05000419</t>
  </si>
  <si>
    <t xml:space="preserve">SW-CU-101085</t>
  </si>
  <si>
    <t xml:space="preserve">SW-TKT-05000420</t>
  </si>
  <si>
    <t xml:space="preserve">SW-CU-107509</t>
  </si>
  <si>
    <t xml:space="preserve">Ananya Gupta</t>
  </si>
  <si>
    <t xml:space="preserve">14-07-2025</t>
  </si>
  <si>
    <t xml:space="preserve">AG-0144</t>
  </si>
  <si>
    <t xml:space="preserve">SW-TKT-05000421</t>
  </si>
  <si>
    <t xml:space="preserve">SW-CU-107367</t>
  </si>
  <si>
    <t xml:space="preserve">25-08-2025</t>
  </si>
  <si>
    <t xml:space="preserve">SW-TKT-05000422</t>
  </si>
  <si>
    <t xml:space="preserve">SW-CU-104167</t>
  </si>
  <si>
    <t xml:space="preserve">SW-TKT-05000423</t>
  </si>
  <si>
    <t xml:space="preserve">SW-CU-107335</t>
  </si>
  <si>
    <t xml:space="preserve">SW-TKT-05000424</t>
  </si>
  <si>
    <t xml:space="preserve">SW-CU-105802</t>
  </si>
  <si>
    <t xml:space="preserve">SW-TKT-05000425</t>
  </si>
  <si>
    <t xml:space="preserve">SW-CU-103542</t>
  </si>
  <si>
    <t xml:space="preserve">Ananya Bhatia</t>
  </si>
  <si>
    <t xml:space="preserve">SW-TKT-05000426</t>
  </si>
  <si>
    <t xml:space="preserve">SW-CU-103139</t>
  </si>
  <si>
    <t xml:space="preserve">PRIYA KUMAR</t>
  </si>
  <si>
    <t xml:space="preserve">SW-TKT-05000427</t>
  </si>
  <si>
    <t xml:space="preserve">SW-CU-100611</t>
  </si>
  <si>
    <t xml:space="preserve">2025-09-05</t>
  </si>
  <si>
    <t xml:space="preserve">SW-TKT-05000428</t>
  </si>
  <si>
    <t xml:space="preserve">SW-CU-103058</t>
  </si>
  <si>
    <t xml:space="preserve">SW-TKT-05000429</t>
  </si>
  <si>
    <t xml:space="preserve">SW-CU-106189</t>
  </si>
  <si>
    <t xml:space="preserve">Priya Malhotra</t>
  </si>
  <si>
    <t xml:space="preserve">SW-TKT-05000430</t>
  </si>
  <si>
    <t xml:space="preserve">SW-TKT-05000431</t>
  </si>
  <si>
    <t xml:space="preserve">SW-CU-107322</t>
  </si>
  <si>
    <t xml:space="preserve">ARJUN MEHTA</t>
  </si>
  <si>
    <t xml:space="preserve">SW-TKT-05000432</t>
  </si>
  <si>
    <t xml:space="preserve">SW-CU-104817</t>
  </si>
  <si>
    <t xml:space="preserve">Ishita Das</t>
  </si>
  <si>
    <t xml:space="preserve">SW-TKT-05000433</t>
  </si>
  <si>
    <t xml:space="preserve">SW-CU-103605</t>
  </si>
  <si>
    <t xml:space="preserve">SW-TKT-05000434</t>
  </si>
  <si>
    <t xml:space="preserve">SW-CU-104551</t>
  </si>
  <si>
    <t xml:space="preserve">aniket kumar</t>
  </si>
  <si>
    <t xml:space="preserve">SW-TKT-05000435</t>
  </si>
  <si>
    <t xml:space="preserve">SW-CU-102967</t>
  </si>
  <si>
    <t xml:space="preserve">Divya Iyer</t>
  </si>
  <si>
    <t xml:space="preserve">SW-TKT-05000436</t>
  </si>
  <si>
    <t xml:space="preserve">SW-CU-105831</t>
  </si>
  <si>
    <t xml:space="preserve">anjali menon</t>
  </si>
  <si>
    <t xml:space="preserve">SW-TKT-05000437</t>
  </si>
  <si>
    <t xml:space="preserve">SW-CU-100863</t>
  </si>
  <si>
    <t xml:space="preserve">SW-TKT-05000438</t>
  </si>
  <si>
    <t xml:space="preserve">SW-CU-105152</t>
  </si>
  <si>
    <t xml:space="preserve">meera gupta</t>
  </si>
  <si>
    <t xml:space="preserve">SW-TKT-05000439</t>
  </si>
  <si>
    <t xml:space="preserve">SW-CU-105238</t>
  </si>
  <si>
    <t xml:space="preserve">Divya Menon</t>
  </si>
  <si>
    <t xml:space="preserve">SW-TKT-05000440</t>
  </si>
  <si>
    <t xml:space="preserve">SW-CU-103494</t>
  </si>
  <si>
    <t xml:space="preserve">AARTI SINGH</t>
  </si>
  <si>
    <t xml:space="preserve">SW-TKT-05000441</t>
  </si>
  <si>
    <t xml:space="preserve">SW-CU-102903</t>
  </si>
  <si>
    <t xml:space="preserve">Rahul Joshi</t>
  </si>
  <si>
    <t xml:space="preserve">SW-TKT-05000442</t>
  </si>
  <si>
    <t xml:space="preserve">SW-CU-101514</t>
  </si>
  <si>
    <t xml:space="preserve">swati iyer</t>
  </si>
  <si>
    <t xml:space="preserve">SW-TKT-05000443</t>
  </si>
  <si>
    <t xml:space="preserve">SW-CU-101995</t>
  </si>
  <si>
    <t xml:space="preserve">Kavya Malhotra</t>
  </si>
  <si>
    <t xml:space="preserve">SW-TKT-05000444</t>
  </si>
  <si>
    <t xml:space="preserve">SW-CU-104103</t>
  </si>
  <si>
    <t xml:space="preserve">Nidhi Menon</t>
  </si>
  <si>
    <t xml:space="preserve">09/06/2025</t>
  </si>
  <si>
    <t xml:space="preserve">SW-TKT-05000445</t>
  </si>
  <si>
    <t xml:space="preserve">SW-CU-107708</t>
  </si>
  <si>
    <t xml:space="preserve">Karan Chopra</t>
  </si>
  <si>
    <t xml:space="preserve">SW-TKT-05000446</t>
  </si>
  <si>
    <t xml:space="preserve">SW-CU-103296</t>
  </si>
  <si>
    <t xml:space="preserve">Arjun Bose</t>
  </si>
  <si>
    <t xml:space="preserve">SW-TKT-05000447</t>
  </si>
  <si>
    <t xml:space="preserve">SW-CU-104268</t>
  </si>
  <si>
    <t xml:space="preserve">Pooja Singh</t>
  </si>
  <si>
    <t xml:space="preserve">SW-TKT-05000448</t>
  </si>
  <si>
    <t xml:space="preserve">SW-CU-104200</t>
  </si>
  <si>
    <t xml:space="preserve">SW-TKT-05000449</t>
  </si>
  <si>
    <t xml:space="preserve">SW-CU-100547</t>
  </si>
  <si>
    <t xml:space="preserve">SW-TKT-05000450</t>
  </si>
  <si>
    <t xml:space="preserve">SW-CU-100852</t>
  </si>
  <si>
    <t xml:space="preserve">Ananya Verma</t>
  </si>
  <si>
    <t xml:space="preserve">SW-TKT-05000451</t>
  </si>
  <si>
    <t xml:space="preserve">SW-CU-106322</t>
  </si>
  <si>
    <t xml:space="preserve">Rajat Nair</t>
  </si>
  <si>
    <t xml:space="preserve">SW-TKT-05000452</t>
  </si>
  <si>
    <t xml:space="preserve">SW-CU-105753</t>
  </si>
  <si>
    <t xml:space="preserve">gaurav joshi</t>
  </si>
  <si>
    <t xml:space="preserve">SW-TKT-05000453</t>
  </si>
  <si>
    <t xml:space="preserve">SW-CU-107320</t>
  </si>
  <si>
    <t xml:space="preserve">Divya Malhotra</t>
  </si>
  <si>
    <t xml:space="preserve">SW-TKT-05000454</t>
  </si>
  <si>
    <t xml:space="preserve">SW-CU-105469</t>
  </si>
  <si>
    <t xml:space="preserve">SW-TKT-05000455</t>
  </si>
  <si>
    <t xml:space="preserve">SW-CU-103170</t>
  </si>
  <si>
    <t xml:space="preserve">SW-TKT-05000456</t>
  </si>
  <si>
    <t xml:space="preserve">SW-CU-101744</t>
  </si>
  <si>
    <t xml:space="preserve">Gaurav Das</t>
  </si>
  <si>
    <t xml:space="preserve">07/21/2025</t>
  </si>
  <si>
    <t xml:space="preserve">SW-TKT-05000457</t>
  </si>
  <si>
    <t xml:space="preserve">SW-CU-101442</t>
  </si>
  <si>
    <t xml:space="preserve">Vikram Menon</t>
  </si>
  <si>
    <t xml:space="preserve">SW-TKT-05000458</t>
  </si>
  <si>
    <t xml:space="preserve">SW-CU-106413</t>
  </si>
  <si>
    <t xml:space="preserve">SW-TKT-05000459</t>
  </si>
  <si>
    <t xml:space="preserve">SW-CU-102815</t>
  </si>
  <si>
    <t xml:space="preserve">Ritu Mehta</t>
  </si>
  <si>
    <t xml:space="preserve">SW-TKT-05000460</t>
  </si>
  <si>
    <t xml:space="preserve">SW-CU-103502</t>
  </si>
  <si>
    <t xml:space="preserve">kavya chopra</t>
  </si>
  <si>
    <t xml:space="preserve">SW-TKT-05000461</t>
  </si>
  <si>
    <t xml:space="preserve">SW-CU-100990</t>
  </si>
  <si>
    <t xml:space="preserve">Suresh Menon</t>
  </si>
  <si>
    <t xml:space="preserve">SW-TKT-05000462</t>
  </si>
  <si>
    <t xml:space="preserve">SW-TKT-05000463</t>
  </si>
  <si>
    <t xml:space="preserve">SW-TKT-05000464</t>
  </si>
  <si>
    <t xml:space="preserve">SW-CU-104016</t>
  </si>
  <si>
    <t xml:space="preserve">07/05/2025</t>
  </si>
  <si>
    <t xml:space="preserve">SW-TKT-05000465</t>
  </si>
  <si>
    <t xml:space="preserve">SW-CU-104980</t>
  </si>
  <si>
    <t xml:space="preserve">AJAY SINGH</t>
  </si>
  <si>
    <t xml:space="preserve">SW-TKT-05000466</t>
  </si>
  <si>
    <t xml:space="preserve">SW-CU-107793</t>
  </si>
  <si>
    <t xml:space="preserve">SW-TKT-05000467</t>
  </si>
  <si>
    <t xml:space="preserve">SW-CU-106528</t>
  </si>
  <si>
    <t xml:space="preserve">Nidhi Reddy</t>
  </si>
  <si>
    <t xml:space="preserve">SW-TKT-05000468</t>
  </si>
  <si>
    <t xml:space="preserve">SW-CU-107166</t>
  </si>
  <si>
    <t xml:space="preserve">rahul agarwal</t>
  </si>
  <si>
    <t xml:space="preserve">SW-TKT-05000469</t>
  </si>
  <si>
    <t xml:space="preserve">SW-CU-105214</t>
  </si>
  <si>
    <t xml:space="preserve">Rajat Malhotra</t>
  </si>
  <si>
    <t xml:space="preserve">SW-TKT-05000470</t>
  </si>
  <si>
    <t xml:space="preserve">SW-CU-100865</t>
  </si>
  <si>
    <t xml:space="preserve">Shreya Menon</t>
  </si>
  <si>
    <t xml:space="preserve">09-09-2025</t>
  </si>
  <si>
    <t xml:space="preserve">SW-TKT-05000471</t>
  </si>
  <si>
    <t xml:space="preserve">SW-CU-105110</t>
  </si>
  <si>
    <t xml:space="preserve">Arjun Chopra</t>
  </si>
  <si>
    <t xml:space="preserve">SW-TKT-05000472</t>
  </si>
  <si>
    <t xml:space="preserve">SW-CU-104357</t>
  </si>
  <si>
    <t xml:space="preserve">Pranav Iyer</t>
  </si>
  <si>
    <t xml:space="preserve">SW-TKT-05000473</t>
  </si>
  <si>
    <t xml:space="preserve">SW-CU-100792</t>
  </si>
  <si>
    <t xml:space="preserve">Meera Joshi</t>
  </si>
  <si>
    <t xml:space="preserve">SW-TKT-05000474</t>
  </si>
  <si>
    <t xml:space="preserve">SW-CU-100926</t>
  </si>
  <si>
    <t xml:space="preserve">SW-TKT-05000475</t>
  </si>
  <si>
    <t xml:space="preserve">SW-CU-100432</t>
  </si>
  <si>
    <t xml:space="preserve">Arjun Verma</t>
  </si>
  <si>
    <t xml:space="preserve">SW-TKT-05000476</t>
  </si>
  <si>
    <t xml:space="preserve">SW-CU-106019</t>
  </si>
  <si>
    <t xml:space="preserve">Sneha Kumar</t>
  </si>
  <si>
    <t xml:space="preserve">SW-TKT-05000477</t>
  </si>
  <si>
    <t xml:space="preserve">SW-CU-101642</t>
  </si>
  <si>
    <t xml:space="preserve">SW-TKT-05000478</t>
  </si>
  <si>
    <t xml:space="preserve">SW-CU-100774</t>
  </si>
  <si>
    <t xml:space="preserve">Isha Gupta</t>
  </si>
  <si>
    <t xml:space="preserve">SW-TKT-05000479</t>
  </si>
  <si>
    <t xml:space="preserve">SW-CU-102119</t>
  </si>
  <si>
    <t xml:space="preserve">Ravi Nair</t>
  </si>
  <si>
    <t xml:space="preserve">09/16/2025</t>
  </si>
  <si>
    <t xml:space="preserve">SW-TKT-05000480</t>
  </si>
  <si>
    <t xml:space="preserve">SW-CU-106054</t>
  </si>
  <si>
    <t xml:space="preserve">SW-TKT-05000481</t>
  </si>
  <si>
    <t xml:space="preserve">SW-CU-102358</t>
  </si>
  <si>
    <t xml:space="preserve">PRANAV MENON</t>
  </si>
  <si>
    <t xml:space="preserve">SW-TKT-05000482</t>
  </si>
  <si>
    <t xml:space="preserve">SW-CU-102011</t>
  </si>
  <si>
    <t xml:space="preserve">SW-TKT-05000483</t>
  </si>
  <si>
    <t xml:space="preserve">SW-CU-101488</t>
  </si>
  <si>
    <t xml:space="preserve">Pranav Sharma</t>
  </si>
  <si>
    <t xml:space="preserve">18-07-2025</t>
  </si>
  <si>
    <t xml:space="preserve">AG-0064</t>
  </si>
  <si>
    <t xml:space="preserve">SW-TKT-05000484</t>
  </si>
  <si>
    <t xml:space="preserve">SW-CU-101667</t>
  </si>
  <si>
    <t xml:space="preserve">swati das</t>
  </si>
  <si>
    <t xml:space="preserve">SW-TKT-05000485</t>
  </si>
  <si>
    <t xml:space="preserve">SW-CU-100583</t>
  </si>
  <si>
    <t xml:space="preserve">01-09-2025</t>
  </si>
  <si>
    <t xml:space="preserve">SW-TKT-05000486</t>
  </si>
  <si>
    <t xml:space="preserve">SW-CU-105021</t>
  </si>
  <si>
    <t xml:space="preserve">Shreya Kapoor</t>
  </si>
  <si>
    <t xml:space="preserve">SW-TKT-05000487</t>
  </si>
  <si>
    <t xml:space="preserve">SW-CU-104639</t>
  </si>
  <si>
    <t xml:space="preserve">Ishita Sharma</t>
  </si>
  <si>
    <t xml:space="preserve">SW-TKT-05000488</t>
  </si>
  <si>
    <t xml:space="preserve">SW-CU-101363</t>
  </si>
  <si>
    <t xml:space="preserve">AG-0123</t>
  </si>
  <si>
    <t xml:space="preserve">SW-TKT-05000489</t>
  </si>
  <si>
    <t xml:space="preserve">SW-CU-107285</t>
  </si>
  <si>
    <t xml:space="preserve">Ravi Mehta</t>
  </si>
  <si>
    <t xml:space="preserve">08/22/2025</t>
  </si>
  <si>
    <t xml:space="preserve">SW-TKT-05000490</t>
  </si>
  <si>
    <t xml:space="preserve">SW-CU-102833</t>
  </si>
  <si>
    <t xml:space="preserve">Kritika Kumar</t>
  </si>
  <si>
    <t xml:space="preserve">SW-TKT-05000491</t>
  </si>
  <si>
    <t xml:space="preserve">SW-CU-107184</t>
  </si>
  <si>
    <t xml:space="preserve">SW-TKT-05000492</t>
  </si>
  <si>
    <t xml:space="preserve">SW-CU-107685</t>
  </si>
  <si>
    <t xml:space="preserve">08-09-2025</t>
  </si>
  <si>
    <t xml:space="preserve">SW-TKT-05000493</t>
  </si>
  <si>
    <t xml:space="preserve">SW-CU-103421</t>
  </si>
  <si>
    <t xml:space="preserve">SNEHA KUMAR</t>
  </si>
  <si>
    <t xml:space="preserve">SW-TKT-05000494</t>
  </si>
  <si>
    <t xml:space="preserve">SW-CU-105570</t>
  </si>
  <si>
    <t xml:space="preserve">Karan Gupta</t>
  </si>
  <si>
    <t xml:space="preserve">AG-0041</t>
  </si>
  <si>
    <t xml:space="preserve">SW-TKT-05000495</t>
  </si>
  <si>
    <t xml:space="preserve">SW-CU-106573</t>
  </si>
  <si>
    <t xml:space="preserve">SW-TKT-05000496</t>
  </si>
  <si>
    <t xml:space="preserve">SW-CU-101682</t>
  </si>
  <si>
    <t xml:space="preserve">SW-TKT-05000497</t>
  </si>
  <si>
    <t xml:space="preserve">SW-CU-100109</t>
  </si>
  <si>
    <t xml:space="preserve">Anjali Mehta</t>
  </si>
  <si>
    <t xml:space="preserve">AG-0149</t>
  </si>
  <si>
    <t xml:space="preserve">SW-TKT-05000498</t>
  </si>
  <si>
    <t xml:space="preserve">SW-CU-102826</t>
  </si>
  <si>
    <t xml:space="preserve">Kritika Das</t>
  </si>
  <si>
    <t xml:space="preserve">SW-TKT-05000499</t>
  </si>
  <si>
    <t xml:space="preserve">SW-CU-107365</t>
  </si>
  <si>
    <t xml:space="preserve">anjali kumar</t>
  </si>
  <si>
    <t xml:space="preserve">2025-09-26</t>
  </si>
  <si>
    <t xml:space="preserve">⚠ Showing first 500 of 32,000 rows. Full dataset in original SoundWave_Support_CRM_Data.xlsx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</si>
</sst>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#,##0"/>
    <numFmt numFmtId="167" formatCode="\₹#,##0"/>
    <numFmt numFmtId="168" formatCode="\₹#,##0&quot; (blended)&quot;"/>
    <numFmt numFmtId="169" formatCode="0%"/>
    <numFmt numFmtId="170" formatCode="0.0%"/>
    <numFmt numFmtId="171" formatCode="\+0.00;\-0.00;\-"/>
    <numFmt numFmtId="172" formatCode="0.0\x"/>
    <numFmt numFmtId="173" formatCode="yyyy\-mm\-dd\ h:mm:ss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F766E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0F766E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b val="true"/>
      <sz val="10"/>
      <color rgb="FF0F766E"/>
      <name val="Calibri"/>
      <family val="0"/>
      <charset val="1"/>
    </font>
    <font>
      <sz val="10"/>
      <color rgb="FF1D4ED8"/>
      <name val="Calibri"/>
      <family val="0"/>
      <charset val="1"/>
    </font>
    <font>
      <b val="true"/>
      <sz val="14"/>
      <color rgb="FF0F766E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sz val="10"/>
      <color rgb="FF475569"/>
      <name val="Calibri"/>
      <family val="0"/>
      <charset val="1"/>
    </font>
    <font>
      <sz val="10"/>
      <color rgb="FFB45309"/>
      <name val="Calibri"/>
      <family val="0"/>
      <charset val="1"/>
    </font>
    <font>
      <b val="true"/>
      <sz val="11"/>
      <color rgb="FFB91C1C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0"/>
      <color rgb="FF047857"/>
      <name val="Calibri"/>
      <family val="0"/>
      <charset val="1"/>
    </font>
    <font>
      <sz val="10"/>
      <color rgb="FFB91C1C"/>
      <name val="Calibri"/>
      <family val="0"/>
      <charset val="1"/>
    </font>
    <font>
      <sz val="10"/>
      <color rgb="FF047857"/>
      <name val="Calibri"/>
      <family val="0"/>
      <charset val="1"/>
    </font>
    <font>
      <b val="true"/>
      <sz val="10"/>
      <color rgb="FFB45309"/>
      <name val="Calibri"/>
      <family val="0"/>
      <charset val="1"/>
    </font>
    <font>
      <sz val="10"/>
      <color rgb="FF0F766E"/>
      <name val="Calibri"/>
      <family val="0"/>
      <charset val="1"/>
    </font>
    <font>
      <b val="true"/>
      <sz val="11"/>
      <color rgb="FFB45309"/>
      <name val="Calibri"/>
      <family val="0"/>
      <charset val="1"/>
    </font>
    <font>
      <b val="true"/>
      <sz val="11"/>
      <color rgb="FF047857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b val="true"/>
      <sz val="14"/>
      <color rgb="FF0F172A"/>
      <name val="Calibri"/>
      <family val="0"/>
      <charset val="1"/>
    </font>
    <font>
      <b val="true"/>
      <sz val="14"/>
      <color rgb="FF1D4ED8"/>
      <name val="Calibri"/>
      <family val="0"/>
      <charset val="1"/>
    </font>
    <font>
      <b val="true"/>
      <sz val="14"/>
      <color rgb="FF047857"/>
      <name val="Calibri"/>
      <family val="0"/>
      <charset val="1"/>
    </font>
    <font>
      <b val="true"/>
      <sz val="11"/>
      <color rgb="FF6D28D9"/>
      <name val="Calibri"/>
      <family val="0"/>
      <charset val="1"/>
    </font>
    <font>
      <sz val="9"/>
      <color rgb="FF1F2937"/>
      <name val="Calibri"/>
      <family val="0"/>
      <charset val="1"/>
    </font>
    <font>
      <i val="true"/>
      <sz val="10"/>
      <color rgb="FFB45309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CFBF1"/>
        <bgColor rgb="FFD1FAE5"/>
      </patternFill>
    </fill>
    <fill>
      <patternFill patternType="solid">
        <fgColor rgb="FF0F172A"/>
        <bgColor rgb="FF1F2937"/>
      </patternFill>
    </fill>
    <fill>
      <patternFill patternType="solid">
        <fgColor rgb="FF0F766E"/>
        <bgColor rgb="FF047857"/>
      </patternFill>
    </fill>
    <fill>
      <patternFill patternType="solid">
        <fgColor rgb="FFB45309"/>
        <bgColor rgb="FF993366"/>
      </patternFill>
    </fill>
    <fill>
      <patternFill patternType="solid">
        <fgColor rgb="FF1D4ED8"/>
        <bgColor rgb="FF3366FF"/>
      </patternFill>
    </fill>
    <fill>
      <patternFill patternType="solid">
        <fgColor rgb="FF047857"/>
        <bgColor rgb="FF0F766E"/>
      </patternFill>
    </fill>
    <fill>
      <patternFill patternType="solid">
        <fgColor rgb="FF6D28D9"/>
        <bgColor rgb="FF800080"/>
      </patternFill>
    </fill>
    <fill>
      <patternFill patternType="solid">
        <fgColor rgb="FFFEE2E2"/>
        <bgColor rgb="FFEDE9FE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EE2E2"/>
      </patternFill>
    </fill>
    <fill>
      <patternFill patternType="solid">
        <fgColor rgb="FFEDE9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9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2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6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1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3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5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F766E"/>
      <rgbColor rgb="FFC0C0C0"/>
      <rgbColor rgb="FF808080"/>
      <rgbColor rgb="FF9999FF"/>
      <rgbColor rgb="FFB45309"/>
      <rgbColor rgb="FFFEF3C7"/>
      <rgbColor rgb="FFCCFBF1"/>
      <rgbColor rgb="FF660066"/>
      <rgbColor rgb="FFFF8080"/>
      <rgbColor rgb="FF1D4ED8"/>
      <rgbColor rgb="FFEDE9FE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B91C1C"/>
      <rgbColor rgb="FF993366"/>
      <rgbColor rgb="FF47556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65"/>
  </cols>
  <sheetData>
    <row r="2" customFormat="false" ht="15" hidden="false" customHeight="true" outlineLevel="0" collapsed="false">
      <c r="B2" s="2" t="s">
        <v>0</v>
      </c>
    </row>
    <row r="3" customFormat="false" ht="27.7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21.75" hidden="false" customHeight="true" outlineLevel="0" collapsed="false">
      <c r="B6" s="5" t="s">
        <v>3</v>
      </c>
      <c r="C6" s="5"/>
      <c r="D6" s="5"/>
    </row>
    <row r="7" customFormat="false" ht="54.75" hidden="false" customHeight="true" outlineLevel="0" collapsed="false">
      <c r="B7" s="6" t="s">
        <v>4</v>
      </c>
      <c r="C7" s="6"/>
      <c r="D7" s="6"/>
    </row>
    <row r="10" customFormat="false" ht="15" hidden="false" customHeight="true" outlineLevel="0" collapsed="false">
      <c r="B10" s="7" t="s">
        <v>5</v>
      </c>
    </row>
    <row r="11" customFormat="false" ht="27.75" hidden="false" customHeight="true" outlineLevel="0" collapsed="false">
      <c r="B11" s="8" t="s">
        <v>6</v>
      </c>
      <c r="C11" s="8" t="s">
        <v>7</v>
      </c>
      <c r="D11" s="8" t="s">
        <v>8</v>
      </c>
    </row>
    <row r="12" customFormat="false" ht="27.75" hidden="false" customHeight="true" outlineLevel="0" collapsed="false">
      <c r="B12" s="9" t="s">
        <v>9</v>
      </c>
      <c r="C12" s="10" t="s">
        <v>10</v>
      </c>
      <c r="D12" s="11" t="s">
        <v>11</v>
      </c>
    </row>
    <row r="13" customFormat="false" ht="27.75" hidden="false" customHeight="true" outlineLevel="0" collapsed="false">
      <c r="B13" s="9" t="s">
        <v>9</v>
      </c>
      <c r="C13" s="10" t="s">
        <v>12</v>
      </c>
      <c r="D13" s="11" t="s">
        <v>13</v>
      </c>
    </row>
    <row r="14" customFormat="false" ht="27.75" hidden="false" customHeight="true" outlineLevel="0" collapsed="false">
      <c r="B14" s="9" t="s">
        <v>14</v>
      </c>
      <c r="C14" s="10" t="s">
        <v>15</v>
      </c>
      <c r="D14" s="11" t="s">
        <v>16</v>
      </c>
    </row>
    <row r="15" customFormat="false" ht="27.75" hidden="false" customHeight="true" outlineLevel="0" collapsed="false">
      <c r="B15" s="9" t="s">
        <v>14</v>
      </c>
      <c r="C15" s="10" t="s">
        <v>17</v>
      </c>
      <c r="D15" s="11" t="s">
        <v>18</v>
      </c>
    </row>
    <row r="16" customFormat="false" ht="27.75" hidden="false" customHeight="true" outlineLevel="0" collapsed="false">
      <c r="B16" s="9" t="s">
        <v>14</v>
      </c>
      <c r="C16" s="10" t="s">
        <v>19</v>
      </c>
      <c r="D16" s="11" t="s">
        <v>20</v>
      </c>
    </row>
    <row r="17" customFormat="false" ht="27.75" hidden="false" customHeight="true" outlineLevel="0" collapsed="false">
      <c r="B17" s="9" t="s">
        <v>14</v>
      </c>
      <c r="C17" s="10" t="s">
        <v>21</v>
      </c>
      <c r="D17" s="11" t="s">
        <v>22</v>
      </c>
    </row>
    <row r="18" customFormat="false" ht="27.75" hidden="false" customHeight="true" outlineLevel="0" collapsed="false">
      <c r="B18" s="9" t="s">
        <v>14</v>
      </c>
      <c r="C18" s="10" t="s">
        <v>23</v>
      </c>
      <c r="D18" s="11" t="s">
        <v>24</v>
      </c>
    </row>
    <row r="19" customFormat="false" ht="27.75" hidden="false" customHeight="true" outlineLevel="0" collapsed="false">
      <c r="B19" s="9" t="s">
        <v>14</v>
      </c>
      <c r="C19" s="10" t="s">
        <v>25</v>
      </c>
      <c r="D19" s="11" t="s">
        <v>26</v>
      </c>
    </row>
    <row r="20" customFormat="false" ht="27.75" hidden="false" customHeight="true" outlineLevel="0" collapsed="false">
      <c r="B20" s="9" t="s">
        <v>14</v>
      </c>
      <c r="C20" s="10" t="s">
        <v>27</v>
      </c>
      <c r="D20" s="11" t="s">
        <v>28</v>
      </c>
    </row>
    <row r="21" customFormat="false" ht="27.75" hidden="false" customHeight="true" outlineLevel="0" collapsed="false">
      <c r="B21" s="9" t="s">
        <v>29</v>
      </c>
      <c r="C21" s="10" t="s">
        <v>30</v>
      </c>
      <c r="D21" s="11" t="s">
        <v>31</v>
      </c>
    </row>
    <row r="22" customFormat="false" ht="27.75" hidden="false" customHeight="true" outlineLevel="0" collapsed="false">
      <c r="B22" s="9" t="s">
        <v>29</v>
      </c>
      <c r="C22" s="10" t="s">
        <v>32</v>
      </c>
      <c r="D22" s="11" t="s">
        <v>33</v>
      </c>
    </row>
    <row r="23" customFormat="false" ht="27.75" hidden="false" customHeight="true" outlineLevel="0" collapsed="false">
      <c r="B23" s="9" t="s">
        <v>14</v>
      </c>
      <c r="C23" s="10" t="s">
        <v>34</v>
      </c>
      <c r="D23" s="11" t="s">
        <v>35</v>
      </c>
    </row>
    <row r="24" customFormat="false" ht="27.75" hidden="false" customHeight="true" outlineLevel="0" collapsed="false">
      <c r="B24" s="9" t="s">
        <v>29</v>
      </c>
      <c r="C24" s="10" t="s">
        <v>36</v>
      </c>
      <c r="D24" s="11" t="s">
        <v>37</v>
      </c>
    </row>
    <row r="25" customFormat="false" ht="27.75" hidden="false" customHeight="true" outlineLevel="0" collapsed="false">
      <c r="B25" s="9" t="s">
        <v>38</v>
      </c>
      <c r="C25" s="10" t="s">
        <v>39</v>
      </c>
      <c r="D25" s="11" t="s">
        <v>40</v>
      </c>
    </row>
    <row r="28" customFormat="false" ht="17.25" hidden="false" customHeight="true" outlineLevel="0" collapsed="false">
      <c r="B28" s="12" t="s">
        <v>41</v>
      </c>
    </row>
    <row r="29" customFormat="false" ht="27.75" hidden="false" customHeight="true" outlineLevel="0" collapsed="false">
      <c r="B29" s="13" t="s">
        <v>42</v>
      </c>
      <c r="C29" s="14" t="s">
        <v>43</v>
      </c>
      <c r="D29" s="11" t="s">
        <v>44</v>
      </c>
    </row>
    <row r="30" customFormat="false" ht="27.75" hidden="false" customHeight="true" outlineLevel="0" collapsed="false">
      <c r="B30" s="15" t="s">
        <v>45</v>
      </c>
      <c r="C30" s="14" t="s">
        <v>46</v>
      </c>
      <c r="D30" s="11" t="s">
        <v>47</v>
      </c>
    </row>
    <row r="31" customFormat="false" ht="27.75" hidden="false" customHeight="true" outlineLevel="0" collapsed="false">
      <c r="B31" s="16" t="s">
        <v>48</v>
      </c>
      <c r="C31" s="14" t="s">
        <v>49</v>
      </c>
      <c r="D31" s="11" t="s">
        <v>50</v>
      </c>
    </row>
    <row r="32" customFormat="false" ht="27.75" hidden="false" customHeight="true" outlineLevel="0" collapsed="false">
      <c r="B32" s="17" t="s">
        <v>51</v>
      </c>
      <c r="C32" s="14" t="s">
        <v>52</v>
      </c>
      <c r="D32" s="11" t="s">
        <v>53</v>
      </c>
    </row>
    <row r="33" customFormat="false" ht="27.75" hidden="false" customHeight="true" outlineLevel="0" collapsed="false">
      <c r="B33" s="18" t="s">
        <v>54</v>
      </c>
      <c r="C33" s="14" t="s">
        <v>55</v>
      </c>
      <c r="D33" s="11" t="s">
        <v>56</v>
      </c>
    </row>
  </sheetData>
  <mergeCells count="2">
    <mergeCell ref="B6:D6"/>
    <mergeCell ref="B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28"/>
    <col collapsed="false" customWidth="true" hidden="false" outlineLevel="0" max="4" min="4" style="1" width="25"/>
    <col collapsed="false" customWidth="true" hidden="false" outlineLevel="0" max="5" min="5" style="1" width="42"/>
    <col collapsed="false" customWidth="true" hidden="false" outlineLevel="0" max="6" min="6" style="1" width="18"/>
  </cols>
  <sheetData>
    <row r="2" customFormat="false" ht="24" hidden="false" customHeight="true" outlineLevel="0" collapsed="false">
      <c r="B2" s="16" t="s">
        <v>48</v>
      </c>
      <c r="C2" s="3" t="s">
        <v>57</v>
      </c>
    </row>
    <row r="3" customFormat="false" ht="15" hidden="false" customHeight="true" outlineLevel="0" collapsed="false">
      <c r="C3" s="4" t="s">
        <v>58</v>
      </c>
    </row>
    <row r="5" customFormat="false" ht="15" hidden="false" customHeight="true" outlineLevel="0" collapsed="false"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</row>
    <row r="6" customFormat="false" ht="54.75" hidden="false" customHeight="true" outlineLevel="0" collapsed="false">
      <c r="B6" s="19" t="n">
        <v>1</v>
      </c>
      <c r="C6" s="20" t="s">
        <v>64</v>
      </c>
      <c r="D6" s="21" t="s">
        <v>65</v>
      </c>
      <c r="E6" s="11" t="s">
        <v>66</v>
      </c>
      <c r="F6" s="20" t="s">
        <v>67</v>
      </c>
    </row>
    <row r="7" customFormat="false" ht="54.75" hidden="false" customHeight="true" outlineLevel="0" collapsed="false">
      <c r="B7" s="19" t="n">
        <v>2</v>
      </c>
      <c r="C7" s="14" t="s">
        <v>68</v>
      </c>
      <c r="D7" s="21" t="s">
        <v>69</v>
      </c>
      <c r="E7" s="11" t="s">
        <v>70</v>
      </c>
      <c r="F7" s="22" t="s">
        <v>71</v>
      </c>
    </row>
    <row r="8" customFormat="false" ht="54.75" hidden="false" customHeight="true" outlineLevel="0" collapsed="false">
      <c r="B8" s="19" t="n">
        <v>3</v>
      </c>
      <c r="C8" s="14" t="s">
        <v>72</v>
      </c>
      <c r="D8" s="21" t="s">
        <v>73</v>
      </c>
      <c r="E8" s="11" t="s">
        <v>74</v>
      </c>
      <c r="F8" s="22" t="s">
        <v>75</v>
      </c>
    </row>
    <row r="9" customFormat="false" ht="54.75" hidden="false" customHeight="true" outlineLevel="0" collapsed="false">
      <c r="B9" s="19" t="n">
        <v>4</v>
      </c>
      <c r="C9" s="14" t="s">
        <v>76</v>
      </c>
      <c r="D9" s="21" t="s">
        <v>77</v>
      </c>
      <c r="E9" s="11" t="s">
        <v>78</v>
      </c>
      <c r="F9" s="21" t="s">
        <v>79</v>
      </c>
    </row>
    <row r="10" customFormat="false" ht="54.75" hidden="false" customHeight="true" outlineLevel="0" collapsed="false">
      <c r="B10" s="19" t="n">
        <v>5</v>
      </c>
      <c r="C10" s="14" t="s">
        <v>80</v>
      </c>
      <c r="D10" s="21" t="s">
        <v>81</v>
      </c>
      <c r="E10" s="11" t="s">
        <v>82</v>
      </c>
      <c r="F10" s="22" t="s">
        <v>83</v>
      </c>
    </row>
    <row r="11" customFormat="false" ht="54.75" hidden="false" customHeight="true" outlineLevel="0" collapsed="false">
      <c r="B11" s="19" t="n">
        <v>6</v>
      </c>
      <c r="C11" s="14" t="s">
        <v>84</v>
      </c>
      <c r="D11" s="21" t="s">
        <v>85</v>
      </c>
      <c r="E11" s="11" t="s">
        <v>86</v>
      </c>
      <c r="F11" s="22" t="s">
        <v>87</v>
      </c>
    </row>
    <row r="12" customFormat="false" ht="54.75" hidden="false" customHeight="true" outlineLevel="0" collapsed="false">
      <c r="B12" s="19" t="n">
        <v>7</v>
      </c>
      <c r="C12" s="14" t="s">
        <v>88</v>
      </c>
      <c r="D12" s="21" t="s">
        <v>81</v>
      </c>
      <c r="E12" s="11" t="s">
        <v>89</v>
      </c>
      <c r="F12" s="22" t="s">
        <v>90</v>
      </c>
    </row>
    <row r="13" customFormat="false" ht="54.75" hidden="false" customHeight="true" outlineLevel="0" collapsed="false">
      <c r="B13" s="19" t="n">
        <v>8</v>
      </c>
      <c r="C13" s="14" t="s">
        <v>91</v>
      </c>
      <c r="D13" s="21" t="s">
        <v>77</v>
      </c>
      <c r="E13" s="11" t="s">
        <v>92</v>
      </c>
      <c r="F13" s="22" t="s">
        <v>93</v>
      </c>
    </row>
    <row r="14" customFormat="false" ht="54.75" hidden="false" customHeight="true" outlineLevel="0" collapsed="false">
      <c r="B14" s="19" t="n">
        <v>9</v>
      </c>
      <c r="C14" s="14" t="s">
        <v>94</v>
      </c>
      <c r="D14" s="21" t="s">
        <v>95</v>
      </c>
      <c r="E14" s="11" t="s">
        <v>96</v>
      </c>
      <c r="F14" s="2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7" min="4" style="1" width="12"/>
    <col collapsed="false" customWidth="true" hidden="false" outlineLevel="0" max="8" min="8" style="1" width="14"/>
  </cols>
  <sheetData>
    <row r="2" customFormat="false" ht="24" hidden="false" customHeight="true" outlineLevel="0" collapsed="false">
      <c r="B2" s="16" t="s">
        <v>48</v>
      </c>
      <c r="C2" s="3" t="s">
        <v>98</v>
      </c>
    </row>
    <row r="3" customFormat="false" ht="15" hidden="false" customHeight="true" outlineLevel="0" collapsed="false">
      <c r="C3" s="4" t="s">
        <v>99</v>
      </c>
    </row>
    <row r="5" customFormat="false" ht="21.75" hidden="false" customHeight="true" outlineLevel="0" collapsed="false">
      <c r="B5" s="23" t="s">
        <v>100</v>
      </c>
      <c r="C5" s="23"/>
      <c r="D5" s="23"/>
      <c r="E5" s="23"/>
      <c r="F5" s="23"/>
      <c r="G5" s="23"/>
      <c r="H5" s="23"/>
    </row>
    <row r="6" customFormat="false" ht="54.75" hidden="false" customHeight="true" outlineLevel="0" collapsed="false">
      <c r="B6" s="24" t="s">
        <v>101</v>
      </c>
      <c r="C6" s="24"/>
      <c r="D6" s="24"/>
      <c r="E6" s="24"/>
      <c r="F6" s="24"/>
      <c r="G6" s="24"/>
      <c r="H6" s="24"/>
    </row>
    <row r="8" customFormat="false" ht="26.25" hidden="false" customHeight="true" outlineLevel="0" collapsed="false">
      <c r="B8" s="8" t="s">
        <v>102</v>
      </c>
      <c r="C8" s="8" t="s">
        <v>103</v>
      </c>
      <c r="D8" s="8" t="s">
        <v>104</v>
      </c>
      <c r="E8" s="8" t="s">
        <v>105</v>
      </c>
      <c r="F8" s="8" t="s">
        <v>106</v>
      </c>
      <c r="G8" s="8" t="s">
        <v>107</v>
      </c>
      <c r="H8" s="8" t="s">
        <v>108</v>
      </c>
      <c r="I8" s="8" t="s">
        <v>109</v>
      </c>
    </row>
    <row r="9" customFormat="false" ht="23.25" hidden="false" customHeight="true" outlineLevel="0" collapsed="false">
      <c r="B9" s="25" t="s">
        <v>110</v>
      </c>
      <c r="C9" s="11" t="s">
        <v>111</v>
      </c>
      <c r="D9" s="11" t="s">
        <v>112</v>
      </c>
      <c r="E9" s="11" t="s">
        <v>113</v>
      </c>
      <c r="F9" s="26" t="n">
        <v>4</v>
      </c>
      <c r="G9" s="27" t="n">
        <v>100.9</v>
      </c>
      <c r="H9" s="28" t="n">
        <v>1</v>
      </c>
      <c r="I9" s="28" t="n">
        <v>0</v>
      </c>
    </row>
    <row r="10" customFormat="false" ht="23.25" hidden="false" customHeight="true" outlineLevel="0" collapsed="false">
      <c r="B10" s="25" t="s">
        <v>114</v>
      </c>
      <c r="C10" s="11" t="s">
        <v>115</v>
      </c>
      <c r="D10" s="11" t="s">
        <v>116</v>
      </c>
      <c r="E10" s="11" t="s">
        <v>113</v>
      </c>
      <c r="F10" s="26"/>
      <c r="G10" s="27" t="n">
        <v>203.38</v>
      </c>
      <c r="H10" s="28" t="n">
        <v>1</v>
      </c>
      <c r="I10" s="28" t="n">
        <v>0</v>
      </c>
    </row>
    <row r="11" customFormat="false" ht="23.25" hidden="false" customHeight="true" outlineLevel="0" collapsed="false">
      <c r="B11" s="25" t="s">
        <v>117</v>
      </c>
      <c r="C11" s="11" t="s">
        <v>118</v>
      </c>
      <c r="D11" s="11" t="s">
        <v>112</v>
      </c>
      <c r="E11" s="11" t="s">
        <v>113</v>
      </c>
      <c r="F11" s="26"/>
      <c r="G11" s="27" t="n">
        <v>282.29</v>
      </c>
      <c r="H11" s="28" t="n">
        <v>1</v>
      </c>
      <c r="I11" s="28" t="n">
        <v>0</v>
      </c>
    </row>
    <row r="12" customFormat="false" ht="23.25" hidden="false" customHeight="true" outlineLevel="0" collapsed="false">
      <c r="B12" s="25" t="s">
        <v>119</v>
      </c>
      <c r="C12" s="11" t="s">
        <v>118</v>
      </c>
      <c r="D12" s="11" t="s">
        <v>120</v>
      </c>
      <c r="E12" s="11" t="s">
        <v>113</v>
      </c>
      <c r="F12" s="26"/>
      <c r="G12" s="27" t="n">
        <v>1221.28</v>
      </c>
      <c r="H12" s="28" t="n">
        <v>1</v>
      </c>
      <c r="I12" s="28" t="n">
        <v>0</v>
      </c>
    </row>
    <row r="13" customFormat="false" ht="23.25" hidden="false" customHeight="true" outlineLevel="0" collapsed="false">
      <c r="B13" s="25" t="s">
        <v>121</v>
      </c>
      <c r="C13" s="11" t="s">
        <v>111</v>
      </c>
      <c r="D13" s="11" t="s">
        <v>112</v>
      </c>
      <c r="E13" s="11" t="s">
        <v>113</v>
      </c>
      <c r="F13" s="26" t="n">
        <v>4</v>
      </c>
      <c r="G13" s="27" t="n">
        <v>90.26</v>
      </c>
      <c r="H13" s="28" t="n">
        <v>1</v>
      </c>
      <c r="I13" s="28" t="n">
        <v>0</v>
      </c>
    </row>
    <row r="14" customFormat="false" ht="23.25" hidden="false" customHeight="true" outlineLevel="0" collapsed="false">
      <c r="B14" s="25" t="s">
        <v>122</v>
      </c>
      <c r="C14" s="11" t="s">
        <v>123</v>
      </c>
      <c r="D14" s="11" t="s">
        <v>120</v>
      </c>
      <c r="E14" s="20" t="s">
        <v>124</v>
      </c>
      <c r="F14" s="26" t="n">
        <v>4</v>
      </c>
      <c r="G14" s="27" t="n">
        <v>141</v>
      </c>
      <c r="H14" s="29" t="n">
        <v>0</v>
      </c>
      <c r="I14" s="28" t="n">
        <v>0</v>
      </c>
    </row>
    <row r="15" customFormat="false" ht="23.25" hidden="false" customHeight="true" outlineLevel="0" collapsed="false">
      <c r="B15" s="25" t="s">
        <v>125</v>
      </c>
      <c r="C15" s="11" t="s">
        <v>123</v>
      </c>
      <c r="D15" s="11" t="s">
        <v>116</v>
      </c>
      <c r="E15" s="11" t="s">
        <v>113</v>
      </c>
      <c r="F15" s="26" t="n">
        <v>3</v>
      </c>
      <c r="G15" s="27" t="n">
        <v>202.5</v>
      </c>
      <c r="H15" s="28" t="n">
        <v>1</v>
      </c>
      <c r="I15" s="29" t="n">
        <v>1</v>
      </c>
    </row>
    <row r="16" customFormat="false" ht="23.25" hidden="false" customHeight="true" outlineLevel="0" collapsed="false">
      <c r="B16" s="25" t="s">
        <v>126</v>
      </c>
      <c r="C16" s="11" t="s">
        <v>118</v>
      </c>
      <c r="D16" s="11" t="s">
        <v>127</v>
      </c>
      <c r="E16" s="11" t="s">
        <v>113</v>
      </c>
      <c r="F16" s="26"/>
      <c r="G16" s="27" t="n">
        <v>410.98</v>
      </c>
      <c r="H16" s="28" t="n">
        <v>1</v>
      </c>
      <c r="I16" s="28" t="n">
        <v>0</v>
      </c>
    </row>
    <row r="17" customFormat="false" ht="23.25" hidden="false" customHeight="true" outlineLevel="0" collapsed="false">
      <c r="B17" s="25" t="s">
        <v>128</v>
      </c>
      <c r="C17" s="11" t="s">
        <v>111</v>
      </c>
      <c r="D17" s="11" t="s">
        <v>129</v>
      </c>
      <c r="E17" s="11" t="s">
        <v>113</v>
      </c>
      <c r="F17" s="26"/>
      <c r="G17" s="27" t="n">
        <v>156.54</v>
      </c>
      <c r="H17" s="28" t="n">
        <v>1</v>
      </c>
      <c r="I17" s="28" t="n">
        <v>0</v>
      </c>
    </row>
    <row r="18" customFormat="false" ht="23.25" hidden="false" customHeight="true" outlineLevel="0" collapsed="false">
      <c r="B18" s="25" t="s">
        <v>130</v>
      </c>
      <c r="C18" s="11" t="s">
        <v>118</v>
      </c>
      <c r="D18" s="11" t="s">
        <v>120</v>
      </c>
      <c r="E18" s="11" t="s">
        <v>113</v>
      </c>
      <c r="F18" s="26" t="n">
        <v>4</v>
      </c>
      <c r="G18" s="27" t="n">
        <v>592.52</v>
      </c>
      <c r="H18" s="28" t="n">
        <v>1</v>
      </c>
      <c r="I18" s="28" t="n">
        <v>0</v>
      </c>
    </row>
    <row r="19" customFormat="false" ht="23.25" hidden="false" customHeight="true" outlineLevel="0" collapsed="false">
      <c r="B19" s="25" t="s">
        <v>131</v>
      </c>
      <c r="C19" s="11" t="s">
        <v>118</v>
      </c>
      <c r="D19" s="11" t="s">
        <v>120</v>
      </c>
      <c r="E19" s="11" t="s">
        <v>113</v>
      </c>
      <c r="F19" s="26" t="n">
        <v>3</v>
      </c>
      <c r="G19" s="27" t="n">
        <v>202.38</v>
      </c>
      <c r="H19" s="28" t="n">
        <v>1</v>
      </c>
      <c r="I19" s="28" t="n">
        <v>0</v>
      </c>
    </row>
    <row r="20" customFormat="false" ht="23.25" hidden="false" customHeight="true" outlineLevel="0" collapsed="false">
      <c r="B20" s="25" t="s">
        <v>132</v>
      </c>
      <c r="C20" s="11" t="s">
        <v>133</v>
      </c>
      <c r="D20" s="11"/>
      <c r="E20" s="11" t="s">
        <v>113</v>
      </c>
      <c r="F20" s="26" t="n">
        <v>4</v>
      </c>
      <c r="G20" s="27" t="n">
        <v>6.72</v>
      </c>
      <c r="H20" s="28" t="n">
        <v>1</v>
      </c>
      <c r="I20" s="28" t="n">
        <v>0</v>
      </c>
    </row>
    <row r="21" customFormat="false" ht="23.25" hidden="false" customHeight="true" outlineLevel="0" collapsed="false">
      <c r="B21" s="25" t="s">
        <v>134</v>
      </c>
      <c r="C21" s="11" t="s">
        <v>115</v>
      </c>
      <c r="D21" s="11" t="s">
        <v>112</v>
      </c>
      <c r="E21" s="11" t="s">
        <v>113</v>
      </c>
      <c r="F21" s="26" t="n">
        <v>4</v>
      </c>
      <c r="G21" s="27" t="n">
        <v>178.04</v>
      </c>
      <c r="H21" s="28" t="n">
        <v>1</v>
      </c>
      <c r="I21" s="28" t="n">
        <v>0</v>
      </c>
    </row>
    <row r="22" customFormat="false" ht="23.25" hidden="false" customHeight="true" outlineLevel="0" collapsed="false">
      <c r="B22" s="25" t="s">
        <v>135</v>
      </c>
      <c r="C22" s="11" t="s">
        <v>111</v>
      </c>
      <c r="D22" s="11" t="s">
        <v>129</v>
      </c>
      <c r="E22" s="11" t="s">
        <v>113</v>
      </c>
      <c r="F22" s="26" t="n">
        <v>3</v>
      </c>
      <c r="G22" s="27" t="n">
        <v>59.02</v>
      </c>
      <c r="H22" s="28" t="n">
        <v>1</v>
      </c>
      <c r="I22" s="28" t="n">
        <v>0</v>
      </c>
    </row>
    <row r="23" customFormat="false" ht="23.25" hidden="false" customHeight="true" outlineLevel="0" collapsed="false">
      <c r="B23" s="25" t="s">
        <v>136</v>
      </c>
      <c r="C23" s="11" t="s">
        <v>118</v>
      </c>
      <c r="D23" s="11" t="s">
        <v>116</v>
      </c>
      <c r="E23" s="11" t="s">
        <v>113</v>
      </c>
      <c r="F23" s="26"/>
      <c r="G23" s="27" t="n">
        <v>200.65</v>
      </c>
      <c r="H23" s="28" t="n">
        <v>1</v>
      </c>
      <c r="I23" s="28" t="n">
        <v>0</v>
      </c>
    </row>
    <row r="24" customFormat="false" ht="23.25" hidden="false" customHeight="true" outlineLevel="0" collapsed="false">
      <c r="B24" s="25" t="s">
        <v>137</v>
      </c>
      <c r="C24" s="11" t="s">
        <v>115</v>
      </c>
      <c r="D24" s="11" t="s">
        <v>120</v>
      </c>
      <c r="E24" s="11" t="s">
        <v>113</v>
      </c>
      <c r="F24" s="26" t="n">
        <v>3</v>
      </c>
      <c r="G24" s="27" t="n">
        <v>65.43</v>
      </c>
      <c r="H24" s="28" t="n">
        <v>1</v>
      </c>
      <c r="I24" s="28" t="n">
        <v>0</v>
      </c>
    </row>
    <row r="25" customFormat="false" ht="23.25" hidden="false" customHeight="true" outlineLevel="0" collapsed="false">
      <c r="B25" s="25" t="s">
        <v>138</v>
      </c>
      <c r="C25" s="11" t="s">
        <v>115</v>
      </c>
      <c r="D25" s="11" t="s">
        <v>120</v>
      </c>
      <c r="E25" s="11" t="s">
        <v>113</v>
      </c>
      <c r="F25" s="26" t="n">
        <v>5</v>
      </c>
      <c r="G25" s="27" t="n">
        <v>47.17</v>
      </c>
      <c r="H25" s="28" t="n">
        <v>1</v>
      </c>
      <c r="I25" s="28" t="n">
        <v>0</v>
      </c>
    </row>
    <row r="26" customFormat="false" ht="23.25" hidden="false" customHeight="true" outlineLevel="0" collapsed="false">
      <c r="B26" s="25" t="s">
        <v>139</v>
      </c>
      <c r="C26" s="11" t="s">
        <v>115</v>
      </c>
      <c r="D26" s="11" t="s">
        <v>129</v>
      </c>
      <c r="E26" s="11" t="s">
        <v>113</v>
      </c>
      <c r="F26" s="26"/>
      <c r="G26" s="27" t="n">
        <v>220.65</v>
      </c>
      <c r="H26" s="28" t="n">
        <v>1</v>
      </c>
      <c r="I26" s="28" t="n">
        <v>0</v>
      </c>
    </row>
    <row r="27" customFormat="false" ht="23.25" hidden="false" customHeight="true" outlineLevel="0" collapsed="false">
      <c r="B27" s="25" t="s">
        <v>140</v>
      </c>
      <c r="C27" s="11" t="s">
        <v>118</v>
      </c>
      <c r="D27" s="11" t="s">
        <v>112</v>
      </c>
      <c r="E27" s="11" t="s">
        <v>113</v>
      </c>
      <c r="F27" s="26" t="n">
        <v>4</v>
      </c>
      <c r="G27" s="27" t="n">
        <v>351.14</v>
      </c>
      <c r="H27" s="28" t="n">
        <v>1</v>
      </c>
      <c r="I27" s="28" t="n">
        <v>0</v>
      </c>
    </row>
    <row r="28" customFormat="false" ht="23.25" hidden="false" customHeight="true" outlineLevel="0" collapsed="false">
      <c r="B28" s="25" t="s">
        <v>141</v>
      </c>
      <c r="C28" s="11" t="s">
        <v>115</v>
      </c>
      <c r="D28" s="11" t="s">
        <v>116</v>
      </c>
      <c r="E28" s="11" t="s">
        <v>113</v>
      </c>
      <c r="F28" s="26" t="n">
        <v>5</v>
      </c>
      <c r="G28" s="27" t="n">
        <v>199.27</v>
      </c>
      <c r="H28" s="28" t="n">
        <v>1</v>
      </c>
      <c r="I28" s="28" t="n">
        <v>0</v>
      </c>
    </row>
    <row r="29" customFormat="false" ht="23.25" hidden="false" customHeight="true" outlineLevel="0" collapsed="false">
      <c r="B29" s="25" t="s">
        <v>142</v>
      </c>
      <c r="C29" s="11" t="s">
        <v>118</v>
      </c>
      <c r="D29" s="11" t="s">
        <v>127</v>
      </c>
      <c r="E29" s="11" t="s">
        <v>113</v>
      </c>
      <c r="F29" s="26"/>
      <c r="G29" s="27" t="n">
        <v>518.4</v>
      </c>
      <c r="H29" s="28" t="n">
        <v>1</v>
      </c>
      <c r="I29" s="28" t="n">
        <v>0</v>
      </c>
    </row>
    <row r="30" customFormat="false" ht="23.25" hidden="false" customHeight="true" outlineLevel="0" collapsed="false">
      <c r="B30" s="25" t="s">
        <v>143</v>
      </c>
      <c r="C30" s="11" t="s">
        <v>118</v>
      </c>
      <c r="D30" s="11" t="s">
        <v>120</v>
      </c>
      <c r="E30" s="11" t="s">
        <v>113</v>
      </c>
      <c r="F30" s="26" t="n">
        <v>4</v>
      </c>
      <c r="G30" s="27" t="n">
        <v>163.2</v>
      </c>
      <c r="H30" s="28" t="n">
        <v>1</v>
      </c>
      <c r="I30" s="28" t="n">
        <v>0</v>
      </c>
    </row>
    <row r="31" customFormat="false" ht="23.25" hidden="false" customHeight="true" outlineLevel="0" collapsed="false">
      <c r="B31" s="25" t="s">
        <v>144</v>
      </c>
      <c r="C31" s="11" t="s">
        <v>118</v>
      </c>
      <c r="D31" s="11" t="s">
        <v>116</v>
      </c>
      <c r="E31" s="11" t="s">
        <v>113</v>
      </c>
      <c r="F31" s="26" t="n">
        <v>5</v>
      </c>
      <c r="G31" s="27" t="n">
        <v>332.11</v>
      </c>
      <c r="H31" s="28" t="n">
        <v>1</v>
      </c>
      <c r="I31" s="28" t="n">
        <v>0</v>
      </c>
    </row>
    <row r="32" customFormat="false" ht="23.25" hidden="false" customHeight="true" outlineLevel="0" collapsed="false">
      <c r="B32" s="25" t="s">
        <v>145</v>
      </c>
      <c r="C32" s="11" t="s">
        <v>118</v>
      </c>
      <c r="D32" s="11" t="s">
        <v>116</v>
      </c>
      <c r="E32" s="11" t="s">
        <v>113</v>
      </c>
      <c r="F32" s="26" t="n">
        <v>4</v>
      </c>
      <c r="G32" s="27" t="n">
        <v>224.17</v>
      </c>
      <c r="H32" s="28" t="n">
        <v>1</v>
      </c>
      <c r="I32" s="28" t="n">
        <v>0</v>
      </c>
    </row>
    <row r="33" customFormat="false" ht="23.25" hidden="false" customHeight="true" outlineLevel="0" collapsed="false">
      <c r="B33" s="25" t="s">
        <v>146</v>
      </c>
      <c r="C33" s="11" t="s">
        <v>123</v>
      </c>
      <c r="D33" s="11" t="s">
        <v>116</v>
      </c>
      <c r="E33" s="11" t="s">
        <v>113</v>
      </c>
      <c r="F33" s="26" t="n">
        <v>5</v>
      </c>
      <c r="G33" s="27" t="n">
        <v>254.25</v>
      </c>
      <c r="H33" s="28" t="n">
        <v>1</v>
      </c>
      <c r="I33" s="28" t="n">
        <v>0</v>
      </c>
    </row>
  </sheetData>
  <mergeCells count="2">
    <mergeCell ref="B5:H5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6" min="3" style="1" width="14"/>
    <col collapsed="false" customWidth="true" hidden="false" outlineLevel="0" max="7" min="7" style="1" width="28"/>
  </cols>
  <sheetData>
    <row r="2" customFormat="false" ht="24" hidden="false" customHeight="true" outlineLevel="0" collapsed="false">
      <c r="B2" s="17" t="s">
        <v>51</v>
      </c>
      <c r="C2" s="3" t="s">
        <v>147</v>
      </c>
    </row>
    <row r="3" customFormat="false" ht="15" hidden="false" customHeight="true" outlineLevel="0" collapsed="false">
      <c r="C3" s="4" t="s">
        <v>148</v>
      </c>
    </row>
    <row r="5" customFormat="false" ht="21.75" hidden="false" customHeight="true" outlineLevel="0" collapsed="false">
      <c r="B5" s="23" t="s">
        <v>149</v>
      </c>
      <c r="C5" s="23"/>
      <c r="D5" s="23"/>
      <c r="E5" s="23"/>
      <c r="F5" s="23"/>
      <c r="G5" s="23"/>
    </row>
    <row r="6" customFormat="false" ht="54.75" hidden="false" customHeight="true" outlineLevel="0" collapsed="false">
      <c r="B6" s="24" t="s">
        <v>150</v>
      </c>
      <c r="C6" s="24"/>
      <c r="D6" s="24"/>
      <c r="E6" s="24"/>
      <c r="F6" s="24"/>
      <c r="G6" s="24"/>
    </row>
    <row r="8" customFormat="false" ht="15" hidden="false" customHeight="true" outlineLevel="0" collapsed="false">
      <c r="B8" s="8" t="s">
        <v>59</v>
      </c>
      <c r="C8" s="8" t="s">
        <v>151</v>
      </c>
      <c r="D8" s="8" t="s">
        <v>152</v>
      </c>
      <c r="E8" s="8" t="s">
        <v>153</v>
      </c>
      <c r="F8" s="8" t="s">
        <v>154</v>
      </c>
      <c r="G8" s="8" t="s">
        <v>155</v>
      </c>
      <c r="H8" s="8" t="s">
        <v>156</v>
      </c>
    </row>
    <row r="9" customFormat="false" ht="45.75" hidden="false" customHeight="true" outlineLevel="0" collapsed="false">
      <c r="B9" s="30" t="n">
        <v>1</v>
      </c>
      <c r="C9" s="14" t="s">
        <v>133</v>
      </c>
      <c r="D9" s="31" t="n">
        <v>3.97</v>
      </c>
      <c r="E9" s="32" t="s">
        <v>157</v>
      </c>
      <c r="F9" s="33" t="n">
        <v>14</v>
      </c>
      <c r="G9" s="34" t="s">
        <v>158</v>
      </c>
      <c r="H9" s="35" t="s">
        <v>159</v>
      </c>
    </row>
    <row r="10" customFormat="false" ht="57" hidden="false" customHeight="true" outlineLevel="0" collapsed="false">
      <c r="B10" s="30" t="n">
        <v>2</v>
      </c>
      <c r="C10" s="14" t="s">
        <v>118</v>
      </c>
      <c r="D10" s="31" t="n">
        <v>3.93</v>
      </c>
      <c r="E10" s="32" t="s">
        <v>157</v>
      </c>
      <c r="F10" s="36" t="n">
        <v>389</v>
      </c>
      <c r="G10" s="34" t="s">
        <v>160</v>
      </c>
      <c r="H10" s="22" t="s">
        <v>161</v>
      </c>
    </row>
    <row r="11" customFormat="false" ht="34.5" hidden="false" customHeight="true" outlineLevel="0" collapsed="false">
      <c r="B11" s="30" t="n">
        <v>3</v>
      </c>
      <c r="C11" s="14" t="s">
        <v>111</v>
      </c>
      <c r="D11" s="31" t="n">
        <v>3.91</v>
      </c>
      <c r="E11" s="32" t="s">
        <v>157</v>
      </c>
      <c r="F11" s="33" t="n">
        <v>132</v>
      </c>
      <c r="G11" s="34" t="s">
        <v>162</v>
      </c>
      <c r="H11" s="35" t="s">
        <v>163</v>
      </c>
    </row>
    <row r="12" customFormat="false" ht="34.5" hidden="false" customHeight="true" outlineLevel="0" collapsed="false">
      <c r="B12" s="30" t="n">
        <v>4</v>
      </c>
      <c r="C12" s="14" t="s">
        <v>115</v>
      </c>
      <c r="D12" s="31" t="n">
        <v>3.9</v>
      </c>
      <c r="E12" s="32" t="s">
        <v>157</v>
      </c>
      <c r="F12" s="33" t="n">
        <v>169</v>
      </c>
      <c r="G12" s="34" t="s">
        <v>164</v>
      </c>
      <c r="H12" s="35" t="s">
        <v>165</v>
      </c>
    </row>
    <row r="13" customFormat="false" ht="57" hidden="false" customHeight="true" outlineLevel="0" collapsed="false">
      <c r="B13" s="37" t="n">
        <v>5</v>
      </c>
      <c r="C13" s="38" t="s">
        <v>123</v>
      </c>
      <c r="D13" s="39" t="n">
        <v>3.59</v>
      </c>
      <c r="E13" s="40" t="s">
        <v>166</v>
      </c>
      <c r="F13" s="41" t="n">
        <v>222</v>
      </c>
      <c r="G13" s="42" t="s">
        <v>164</v>
      </c>
      <c r="H13" s="38" t="s">
        <v>167</v>
      </c>
    </row>
    <row r="14" customFormat="false" ht="34.5" hidden="false" customHeight="true" outlineLevel="0" collapsed="false">
      <c r="B14" s="43" t="n">
        <v>6</v>
      </c>
      <c r="C14" s="44" t="s">
        <v>168</v>
      </c>
      <c r="D14" s="45" t="n">
        <v>3.87</v>
      </c>
      <c r="E14" s="46" t="s">
        <v>169</v>
      </c>
      <c r="F14" s="47" t="n">
        <f aca="false">AVERAGE(D9:D13)</f>
        <v>3.86</v>
      </c>
      <c r="G14" s="48" t="s">
        <v>170</v>
      </c>
      <c r="H14" s="49" t="s">
        <v>171</v>
      </c>
    </row>
    <row r="16" customFormat="false" ht="15" hidden="false" customHeight="true" outlineLevel="0" collapsed="false">
      <c r="C16" s="7" t="s">
        <v>172</v>
      </c>
    </row>
    <row r="17" customFormat="false" ht="15" hidden="false" customHeight="true" outlineLevel="0" collapsed="false">
      <c r="C17" s="14" t="s">
        <v>173</v>
      </c>
      <c r="D17" s="50" t="s">
        <v>174</v>
      </c>
      <c r="E17" s="50"/>
      <c r="F17" s="50"/>
      <c r="G17" s="50"/>
      <c r="H17" s="50"/>
    </row>
    <row r="18" customFormat="false" ht="15" hidden="false" customHeight="true" outlineLevel="0" collapsed="false">
      <c r="C18" s="14" t="s">
        <v>175</v>
      </c>
      <c r="D18" s="50" t="s">
        <v>176</v>
      </c>
      <c r="E18" s="50"/>
      <c r="F18" s="50"/>
      <c r="G18" s="50"/>
      <c r="H18" s="50"/>
    </row>
    <row r="19" customFormat="false" ht="15" hidden="false" customHeight="true" outlineLevel="0" collapsed="false">
      <c r="C19" s="14" t="s">
        <v>177</v>
      </c>
      <c r="D19" s="50" t="s">
        <v>178</v>
      </c>
      <c r="E19" s="50"/>
      <c r="F19" s="50"/>
      <c r="G19" s="50"/>
      <c r="H19" s="50"/>
    </row>
    <row r="20" customFormat="false" ht="15" hidden="false" customHeight="true" outlineLevel="0" collapsed="false">
      <c r="C20" s="14" t="s">
        <v>179</v>
      </c>
      <c r="D20" s="50" t="s">
        <v>180</v>
      </c>
      <c r="E20" s="50"/>
      <c r="F20" s="50"/>
      <c r="G20" s="50"/>
      <c r="H20" s="50"/>
    </row>
  </sheetData>
  <mergeCells count="6">
    <mergeCell ref="B5:G5"/>
    <mergeCell ref="B6:G6"/>
    <mergeCell ref="D17:H17"/>
    <mergeCell ref="D18:H18"/>
    <mergeCell ref="D19:H19"/>
    <mergeCell ref="D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28"/>
  </cols>
  <sheetData>
    <row r="2" customFormat="false" ht="24" hidden="false" customHeight="true" outlineLevel="0" collapsed="false">
      <c r="B2" s="17" t="s">
        <v>51</v>
      </c>
      <c r="C2" s="3" t="s">
        <v>181</v>
      </c>
    </row>
    <row r="3" customFormat="false" ht="15" hidden="false" customHeight="true" outlineLevel="0" collapsed="false">
      <c r="C3" s="4" t="s">
        <v>182</v>
      </c>
    </row>
    <row r="5" customFormat="false" ht="26.25" hidden="false" customHeight="true" outlineLevel="0" collapsed="false">
      <c r="B5" s="8" t="s">
        <v>183</v>
      </c>
      <c r="C5" s="8" t="s">
        <v>184</v>
      </c>
      <c r="D5" s="8" t="s">
        <v>152</v>
      </c>
      <c r="E5" s="8" t="s">
        <v>185</v>
      </c>
      <c r="F5" s="8" t="s">
        <v>186</v>
      </c>
      <c r="G5" s="8" t="s">
        <v>156</v>
      </c>
    </row>
    <row r="6" customFormat="false" ht="15" hidden="false" customHeight="true" outlineLevel="0" collapsed="false">
      <c r="B6" s="14" t="s">
        <v>120</v>
      </c>
      <c r="C6" s="35" t="s">
        <v>187</v>
      </c>
      <c r="D6" s="51" t="n">
        <v>4.04</v>
      </c>
      <c r="E6" s="34" t="s">
        <v>188</v>
      </c>
      <c r="F6" s="34" t="s">
        <v>189</v>
      </c>
      <c r="G6" s="21" t="s">
        <v>190</v>
      </c>
    </row>
    <row r="7" customFormat="false" ht="15" hidden="false" customHeight="true" outlineLevel="0" collapsed="false">
      <c r="B7" s="14" t="s">
        <v>116</v>
      </c>
      <c r="C7" s="35" t="s">
        <v>187</v>
      </c>
      <c r="D7" s="52" t="n">
        <v>3.98</v>
      </c>
      <c r="E7" s="34" t="s">
        <v>191</v>
      </c>
      <c r="F7" s="34" t="s">
        <v>192</v>
      </c>
      <c r="G7" s="21" t="s">
        <v>193</v>
      </c>
    </row>
    <row r="8" customFormat="false" ht="23.25" hidden="false" customHeight="true" outlineLevel="0" collapsed="false">
      <c r="B8" s="14" t="s">
        <v>194</v>
      </c>
      <c r="C8" s="20" t="s">
        <v>195</v>
      </c>
      <c r="D8" s="52" t="n">
        <v>3.59</v>
      </c>
      <c r="E8" s="34" t="s">
        <v>196</v>
      </c>
      <c r="F8" s="34" t="s">
        <v>197</v>
      </c>
      <c r="G8" s="53" t="s">
        <v>198</v>
      </c>
    </row>
    <row r="9" customFormat="false" ht="15" hidden="false" customHeight="true" outlineLevel="0" collapsed="false">
      <c r="B9" s="14" t="s">
        <v>199</v>
      </c>
      <c r="C9" s="20" t="s">
        <v>195</v>
      </c>
      <c r="D9" s="52" t="n">
        <v>3.65</v>
      </c>
      <c r="E9" s="34" t="s">
        <v>200</v>
      </c>
      <c r="F9" s="34" t="s">
        <v>197</v>
      </c>
      <c r="G9" s="21" t="s">
        <v>201</v>
      </c>
    </row>
    <row r="10" customFormat="false" ht="15" hidden="false" customHeight="true" outlineLevel="0" collapsed="false">
      <c r="B10" s="14" t="s">
        <v>112</v>
      </c>
      <c r="C10" s="20" t="s">
        <v>195</v>
      </c>
      <c r="D10" s="52" t="n">
        <v>3.7</v>
      </c>
      <c r="E10" s="34" t="s">
        <v>202</v>
      </c>
      <c r="F10" s="34" t="s">
        <v>197</v>
      </c>
      <c r="G10" s="21" t="s">
        <v>201</v>
      </c>
    </row>
    <row r="11" customFormat="false" ht="15" hidden="false" customHeight="true" outlineLevel="0" collapsed="false">
      <c r="B11" s="54" t="s">
        <v>203</v>
      </c>
      <c r="C11" s="55" t="s">
        <v>204</v>
      </c>
      <c r="D11" s="56" t="n">
        <v>4.02</v>
      </c>
      <c r="E11" s="57" t="s">
        <v>205</v>
      </c>
      <c r="F11" s="57" t="s">
        <v>206</v>
      </c>
      <c r="G11" s="58" t="s">
        <v>207</v>
      </c>
    </row>
    <row r="12" customFormat="false" ht="15" hidden="false" customHeight="true" outlineLevel="0" collapsed="false">
      <c r="B12" s="54" t="s">
        <v>208</v>
      </c>
      <c r="C12" s="55" t="s">
        <v>204</v>
      </c>
      <c r="D12" s="59" t="n">
        <v>3.65</v>
      </c>
      <c r="E12" s="57" t="s">
        <v>209</v>
      </c>
      <c r="F12" s="57" t="s">
        <v>197</v>
      </c>
      <c r="G12" s="58" t="s">
        <v>210</v>
      </c>
    </row>
    <row r="14" customFormat="false" ht="21.75" hidden="false" customHeight="true" outlineLevel="0" collapsed="false">
      <c r="B14" s="60" t="s">
        <v>211</v>
      </c>
      <c r="C14" s="60"/>
      <c r="D14" s="60"/>
      <c r="E14" s="60"/>
      <c r="F14" s="60"/>
      <c r="G14" s="60"/>
    </row>
    <row r="15" customFormat="false" ht="54.75" hidden="false" customHeight="true" outlineLevel="0" collapsed="false">
      <c r="B15" s="61" t="s">
        <v>212</v>
      </c>
      <c r="C15" s="61"/>
      <c r="D15" s="61"/>
      <c r="E15" s="61"/>
      <c r="F15" s="61"/>
      <c r="G15" s="61"/>
    </row>
  </sheetData>
  <mergeCells count="2">
    <mergeCell ref="B14:G14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30"/>
  </cols>
  <sheetData>
    <row r="2" customFormat="false" ht="24" hidden="false" customHeight="true" outlineLevel="0" collapsed="false">
      <c r="B2" s="17" t="s">
        <v>51</v>
      </c>
      <c r="C2" s="3" t="s">
        <v>213</v>
      </c>
    </row>
    <row r="3" customFormat="false" ht="15" hidden="false" customHeight="true" outlineLevel="0" collapsed="false">
      <c r="C3" s="4" t="s">
        <v>214</v>
      </c>
    </row>
    <row r="5" customFormat="false" ht="26.25" hidden="false" customHeight="true" outlineLevel="0" collapsed="false">
      <c r="B5" s="8" t="s">
        <v>59</v>
      </c>
      <c r="C5" s="8" t="s">
        <v>151</v>
      </c>
      <c r="D5" s="8" t="s">
        <v>77</v>
      </c>
      <c r="E5" s="8" t="s">
        <v>215</v>
      </c>
      <c r="F5" s="8" t="s">
        <v>154</v>
      </c>
      <c r="G5" s="8" t="s">
        <v>216</v>
      </c>
      <c r="H5" s="8" t="s">
        <v>217</v>
      </c>
    </row>
    <row r="6" customFormat="false" ht="57" hidden="false" customHeight="true" outlineLevel="0" collapsed="false">
      <c r="B6" s="30" t="n">
        <v>1</v>
      </c>
      <c r="C6" s="14" t="s">
        <v>133</v>
      </c>
      <c r="D6" s="27" t="n">
        <v>3143</v>
      </c>
      <c r="E6" s="34" t="s">
        <v>200</v>
      </c>
      <c r="F6" s="62" t="n">
        <v>14</v>
      </c>
      <c r="G6" s="26" t="n">
        <v>3.97</v>
      </c>
      <c r="H6" s="21" t="s">
        <v>218</v>
      </c>
    </row>
    <row r="7" customFormat="false" ht="45.75" hidden="false" customHeight="true" outlineLevel="0" collapsed="false">
      <c r="B7" s="30" t="n">
        <v>2</v>
      </c>
      <c r="C7" s="14" t="s">
        <v>111</v>
      </c>
      <c r="D7" s="27" t="n">
        <v>3201</v>
      </c>
      <c r="E7" s="34" t="s">
        <v>200</v>
      </c>
      <c r="F7" s="63" t="n">
        <v>132</v>
      </c>
      <c r="G7" s="26" t="n">
        <v>3.91</v>
      </c>
      <c r="H7" s="21" t="s">
        <v>219</v>
      </c>
    </row>
    <row r="8" customFormat="false" ht="34.5" hidden="false" customHeight="true" outlineLevel="0" collapsed="false">
      <c r="B8" s="30" t="n">
        <v>3</v>
      </c>
      <c r="C8" s="14" t="s">
        <v>115</v>
      </c>
      <c r="D8" s="27" t="n">
        <v>8120</v>
      </c>
      <c r="E8" s="34" t="s">
        <v>220</v>
      </c>
      <c r="F8" s="63" t="n">
        <v>169</v>
      </c>
      <c r="G8" s="26" t="n">
        <v>3.9</v>
      </c>
      <c r="H8" s="21" t="s">
        <v>221</v>
      </c>
    </row>
    <row r="9" customFormat="false" ht="45.75" hidden="false" customHeight="true" outlineLevel="0" collapsed="false">
      <c r="B9" s="30" t="n">
        <v>4</v>
      </c>
      <c r="C9" s="14" t="s">
        <v>123</v>
      </c>
      <c r="D9" s="27" t="n">
        <v>5980</v>
      </c>
      <c r="E9" s="34" t="s">
        <v>222</v>
      </c>
      <c r="F9" s="63" t="n">
        <v>222</v>
      </c>
      <c r="G9" s="26" t="n">
        <v>3.59</v>
      </c>
      <c r="H9" s="21" t="s">
        <v>223</v>
      </c>
    </row>
    <row r="10" customFormat="false" ht="57" hidden="false" customHeight="true" outlineLevel="0" collapsed="false">
      <c r="B10" s="30" t="n">
        <v>5</v>
      </c>
      <c r="C10" s="14" t="s">
        <v>118</v>
      </c>
      <c r="D10" s="27" t="n">
        <v>11556</v>
      </c>
      <c r="E10" s="34" t="s">
        <v>224</v>
      </c>
      <c r="F10" s="64" t="n">
        <v>389</v>
      </c>
      <c r="G10" s="26" t="n">
        <v>3.93</v>
      </c>
      <c r="H10" s="21" t="s">
        <v>225</v>
      </c>
    </row>
    <row r="11" customFormat="false" ht="34.5" hidden="false" customHeight="true" outlineLevel="0" collapsed="false">
      <c r="B11" s="65"/>
      <c r="C11" s="54" t="s">
        <v>226</v>
      </c>
      <c r="D11" s="66" t="n">
        <f aca="false">SUM(D6:D10)</f>
        <v>32000</v>
      </c>
      <c r="E11" s="57" t="s">
        <v>227</v>
      </c>
      <c r="F11" s="67" t="n">
        <v>229</v>
      </c>
      <c r="G11" s="68" t="n">
        <v>3.87</v>
      </c>
      <c r="H11" s="58" t="s">
        <v>228</v>
      </c>
    </row>
    <row r="13" customFormat="false" ht="21.75" hidden="false" customHeight="true" outlineLevel="0" collapsed="false">
      <c r="B13" s="69" t="s">
        <v>229</v>
      </c>
      <c r="C13" s="69"/>
      <c r="D13" s="69"/>
      <c r="E13" s="69"/>
      <c r="F13" s="69"/>
      <c r="G13" s="69"/>
      <c r="H13" s="69"/>
    </row>
    <row r="14" customFormat="false" ht="54.75" hidden="false" customHeight="true" outlineLevel="0" collapsed="false">
      <c r="B14" s="70" t="s">
        <v>230</v>
      </c>
      <c r="C14" s="70"/>
      <c r="D14" s="70"/>
      <c r="E14" s="70"/>
      <c r="F14" s="70"/>
      <c r="G14" s="70"/>
      <c r="H14" s="70"/>
    </row>
  </sheetData>
  <mergeCells count="2"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4"/>
  </cols>
  <sheetData>
    <row r="2" customFormat="false" ht="24" hidden="false" customHeight="true" outlineLevel="0" collapsed="false">
      <c r="B2" s="17" t="s">
        <v>51</v>
      </c>
      <c r="C2" s="3" t="s">
        <v>231</v>
      </c>
    </row>
    <row r="3" customFormat="false" ht="15" hidden="false" customHeight="true" outlineLevel="0" collapsed="false">
      <c r="C3" s="4" t="s">
        <v>232</v>
      </c>
    </row>
    <row r="5" customFormat="false" ht="21.75" hidden="false" customHeight="true" outlineLevel="0" collapsed="false">
      <c r="B5" s="69" t="s">
        <v>233</v>
      </c>
      <c r="C5" s="69"/>
      <c r="D5" s="69"/>
      <c r="E5" s="69"/>
      <c r="F5" s="69"/>
    </row>
    <row r="6" customFormat="false" ht="54.75" hidden="false" customHeight="true" outlineLevel="0" collapsed="false">
      <c r="B6" s="70" t="s">
        <v>234</v>
      </c>
      <c r="C6" s="70"/>
      <c r="D6" s="70"/>
      <c r="E6" s="70"/>
      <c r="F6" s="70"/>
    </row>
    <row r="8" customFormat="false" ht="15" hidden="false" customHeight="true" outlineLevel="0" collapsed="false">
      <c r="B8" s="71" t="s">
        <v>235</v>
      </c>
    </row>
    <row r="9" customFormat="false" ht="15" hidden="false" customHeight="true" outlineLevel="0" collapsed="false">
      <c r="B9" s="72" t="s">
        <v>236</v>
      </c>
      <c r="C9" s="73" t="n">
        <v>11556</v>
      </c>
    </row>
    <row r="10" customFormat="false" ht="15" hidden="false" customHeight="true" outlineLevel="0" collapsed="false">
      <c r="B10" s="72" t="s">
        <v>237</v>
      </c>
      <c r="C10" s="74" t="n">
        <v>0.2</v>
      </c>
    </row>
    <row r="11" customFormat="false" ht="23.25" hidden="false" customHeight="true" outlineLevel="0" collapsed="false">
      <c r="B11" s="72" t="s">
        <v>238</v>
      </c>
      <c r="C11" s="74" t="n">
        <v>0.56</v>
      </c>
    </row>
    <row r="12" customFormat="false" ht="15" hidden="false" customHeight="true" outlineLevel="0" collapsed="false">
      <c r="B12" s="72" t="s">
        <v>239</v>
      </c>
      <c r="C12" s="75" t="n">
        <f aca="false">C10*C11</f>
        <v>0.112</v>
      </c>
    </row>
    <row r="13" customFormat="false" ht="15" hidden="false" customHeight="true" outlineLevel="0" collapsed="false">
      <c r="B13" s="72" t="s">
        <v>240</v>
      </c>
      <c r="C13" s="73" t="n">
        <v>389</v>
      </c>
    </row>
    <row r="14" customFormat="false" ht="15" hidden="false" customHeight="true" outlineLevel="0" collapsed="false">
      <c r="B14" s="72" t="s">
        <v>241</v>
      </c>
      <c r="C14" s="73" t="n">
        <v>14</v>
      </c>
    </row>
    <row r="15" customFormat="false" ht="15" hidden="false" customHeight="true" outlineLevel="0" collapsed="false">
      <c r="B15" s="72" t="s">
        <v>242</v>
      </c>
      <c r="C15" s="74" t="n">
        <v>3.93</v>
      </c>
    </row>
    <row r="16" customFormat="false" ht="15" hidden="false" customHeight="true" outlineLevel="0" collapsed="false">
      <c r="B16" s="72" t="s">
        <v>243</v>
      </c>
      <c r="C16" s="74" t="n">
        <v>3.97</v>
      </c>
    </row>
    <row r="18" customFormat="false" ht="15" hidden="false" customHeight="true" outlineLevel="0" collapsed="false">
      <c r="B18" s="76" t="s">
        <v>244</v>
      </c>
    </row>
    <row r="19" customFormat="false" ht="15" hidden="false" customHeight="true" outlineLevel="0" collapsed="false">
      <c r="B19" s="14" t="s">
        <v>245</v>
      </c>
      <c r="C19" s="77" t="n">
        <f aca="false">ROUND(C9*C12,0)</f>
        <v>1294</v>
      </c>
    </row>
    <row r="20" customFormat="false" ht="15" hidden="false" customHeight="true" outlineLevel="0" collapsed="false">
      <c r="B20" s="14" t="s">
        <v>246</v>
      </c>
      <c r="C20" s="77" t="n">
        <f aca="false">C19*(C13-C14)</f>
        <v>485250</v>
      </c>
    </row>
    <row r="21" customFormat="false" ht="15" hidden="false" customHeight="true" outlineLevel="0" collapsed="false">
      <c r="B21" s="14" t="s">
        <v>247</v>
      </c>
      <c r="C21" s="77" t="n">
        <f aca="false">C20*4</f>
        <v>1941000</v>
      </c>
    </row>
    <row r="22" customFormat="false" ht="15" hidden="false" customHeight="true" outlineLevel="0" collapsed="false">
      <c r="B22" s="14" t="s">
        <v>248</v>
      </c>
      <c r="C22" s="78" t="n">
        <f aca="false">IFERROR((C15*(C9*(1-C12))+C16*C9*C12)/C9 - C15, 0)</f>
        <v>0.00448000000000048</v>
      </c>
    </row>
    <row r="23" customFormat="false" ht="23.25" hidden="false" customHeight="true" outlineLevel="0" collapsed="false">
      <c r="B23" s="14" t="s">
        <v>249</v>
      </c>
      <c r="C23" s="79" t="s">
        <v>250</v>
      </c>
    </row>
  </sheetData>
  <mergeCells count="2">
    <mergeCell ref="B5:F5"/>
    <mergeCell ref="B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5" min="3" style="1" width="14"/>
    <col collapsed="false" customWidth="true" hidden="false" outlineLevel="0" max="6" min="6" style="1" width="30"/>
  </cols>
  <sheetData>
    <row r="2" customFormat="false" ht="24" hidden="false" customHeight="true" outlineLevel="0" collapsed="false">
      <c r="B2" s="17" t="s">
        <v>51</v>
      </c>
      <c r="C2" s="3" t="s">
        <v>251</v>
      </c>
    </row>
    <row r="3" customFormat="false" ht="15" hidden="false" customHeight="true" outlineLevel="0" collapsed="false">
      <c r="C3" s="4" t="s">
        <v>252</v>
      </c>
    </row>
    <row r="5" customFormat="false" ht="26.25" hidden="false" customHeight="true" outlineLevel="0" collapsed="false">
      <c r="B5" s="8" t="s">
        <v>59</v>
      </c>
      <c r="C5" s="8" t="s">
        <v>253</v>
      </c>
      <c r="D5" s="8" t="s">
        <v>254</v>
      </c>
      <c r="E5" s="8" t="s">
        <v>255</v>
      </c>
      <c r="F5" s="8" t="s">
        <v>256</v>
      </c>
      <c r="G5" s="8" t="s">
        <v>257</v>
      </c>
    </row>
    <row r="6" customFormat="false" ht="45.75" hidden="false" customHeight="true" outlineLevel="0" collapsed="false">
      <c r="B6" s="30" t="n">
        <v>1</v>
      </c>
      <c r="C6" s="20" t="s">
        <v>258</v>
      </c>
      <c r="D6" s="34" t="s">
        <v>259</v>
      </c>
      <c r="E6" s="80" t="s">
        <v>260</v>
      </c>
      <c r="F6" s="81" t="n">
        <f aca="false">IFERROR(E6/E8,0)</f>
        <v>6.67391304347826</v>
      </c>
      <c r="G6" s="21" t="s">
        <v>261</v>
      </c>
    </row>
    <row r="7" customFormat="false" ht="45.75" hidden="false" customHeight="true" outlineLevel="0" collapsed="false">
      <c r="B7" s="30" t="n">
        <v>2</v>
      </c>
      <c r="C7" s="82" t="s">
        <v>262</v>
      </c>
      <c r="D7" s="34" t="s">
        <v>263</v>
      </c>
      <c r="E7" s="83" t="s">
        <v>264</v>
      </c>
      <c r="F7" s="84" t="n">
        <f aca="false">IFERROR(E7/E8,0)</f>
        <v>2.73913043478261</v>
      </c>
      <c r="G7" s="21" t="s">
        <v>265</v>
      </c>
    </row>
    <row r="8" customFormat="false" ht="34.5" hidden="false" customHeight="true" outlineLevel="0" collapsed="false">
      <c r="B8" s="30" t="n">
        <v>3</v>
      </c>
      <c r="C8" s="79" t="s">
        <v>266</v>
      </c>
      <c r="D8" s="34" t="s">
        <v>267</v>
      </c>
      <c r="E8" s="85" t="s">
        <v>268</v>
      </c>
      <c r="F8" s="85" t="s">
        <v>269</v>
      </c>
      <c r="G8" s="21" t="s">
        <v>270</v>
      </c>
    </row>
    <row r="10" customFormat="false" ht="21.75" hidden="false" customHeight="true" outlineLevel="0" collapsed="false">
      <c r="B10" s="23" t="s">
        <v>271</v>
      </c>
      <c r="C10" s="23"/>
      <c r="D10" s="23"/>
      <c r="E10" s="23"/>
      <c r="F10" s="23"/>
      <c r="G10" s="23"/>
    </row>
    <row r="11" customFormat="false" ht="54.75" hidden="false" customHeight="true" outlineLevel="0" collapsed="false">
      <c r="B11" s="24" t="s">
        <v>272</v>
      </c>
      <c r="C11" s="24"/>
      <c r="D11" s="24"/>
      <c r="E11" s="24"/>
      <c r="F11" s="24"/>
      <c r="G11" s="24"/>
    </row>
  </sheetData>
  <mergeCells count="2">
    <mergeCell ref="B10:G10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30"/>
  </cols>
  <sheetData>
    <row r="2" customFormat="false" ht="24" hidden="false" customHeight="true" outlineLevel="0" collapsed="false">
      <c r="B2" s="17" t="s">
        <v>51</v>
      </c>
      <c r="C2" s="3" t="s">
        <v>273</v>
      </c>
    </row>
    <row r="3" customFormat="false" ht="15" hidden="false" customHeight="true" outlineLevel="0" collapsed="false">
      <c r="C3" s="4" t="s">
        <v>274</v>
      </c>
    </row>
    <row r="5" customFormat="false" ht="15" hidden="false" customHeight="true" outlineLevel="0" collapsed="false">
      <c r="B5" s="8" t="s">
        <v>275</v>
      </c>
      <c r="C5" s="8" t="s">
        <v>276</v>
      </c>
      <c r="D5" s="8" t="s">
        <v>277</v>
      </c>
      <c r="E5" s="8" t="s">
        <v>278</v>
      </c>
      <c r="F5" s="8" t="s">
        <v>279</v>
      </c>
    </row>
    <row r="6" customFormat="false" ht="23.25" hidden="false" customHeight="true" outlineLevel="0" collapsed="false">
      <c r="B6" s="14" t="s">
        <v>280</v>
      </c>
      <c r="C6" s="86" t="n">
        <v>0.258</v>
      </c>
      <c r="D6" s="87" t="n">
        <v>0.121</v>
      </c>
      <c r="E6" s="88" t="n">
        <f aca="false">IFERROR(1-D6/C6,0)</f>
        <v>0.531007751937985</v>
      </c>
      <c r="F6" s="21" t="s">
        <v>281</v>
      </c>
    </row>
    <row r="7" customFormat="false" ht="23.25" hidden="false" customHeight="true" outlineLevel="0" collapsed="false">
      <c r="B7" s="14" t="s">
        <v>282</v>
      </c>
      <c r="C7" s="86" t="n">
        <v>0.138</v>
      </c>
      <c r="D7" s="87" t="n">
        <v>0.067</v>
      </c>
      <c r="E7" s="88" t="n">
        <f aca="false">IFERROR(1-D7/C7,0)</f>
        <v>0.514492753623189</v>
      </c>
      <c r="F7" s="21" t="s">
        <v>283</v>
      </c>
    </row>
    <row r="8" customFormat="false" ht="23.25" hidden="false" customHeight="true" outlineLevel="0" collapsed="false">
      <c r="B8" s="14" t="s">
        <v>284</v>
      </c>
      <c r="C8" s="86" t="n">
        <v>0.116</v>
      </c>
      <c r="D8" s="87" t="n">
        <v>0.048</v>
      </c>
      <c r="E8" s="88" t="n">
        <f aca="false">IFERROR(1-D8/C8,0)</f>
        <v>0.586206896551724</v>
      </c>
      <c r="F8" s="21" t="s">
        <v>285</v>
      </c>
    </row>
    <row r="9" customFormat="false" ht="23.25" hidden="false" customHeight="true" outlineLevel="0" collapsed="false">
      <c r="B9" s="14" t="s">
        <v>286</v>
      </c>
      <c r="C9" s="86" t="n">
        <v>0.027</v>
      </c>
      <c r="D9" s="87" t="n">
        <v>0.017</v>
      </c>
      <c r="E9" s="88" t="n">
        <f aca="false">IFERROR(1-D9/C9,0)</f>
        <v>0.37037037037037</v>
      </c>
      <c r="F9" s="21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30"/>
  </cols>
  <sheetData>
    <row r="2" customFormat="false" ht="24" hidden="false" customHeight="true" outlineLevel="0" collapsed="false">
      <c r="B2" s="17" t="s">
        <v>51</v>
      </c>
      <c r="C2" s="3" t="s">
        <v>288</v>
      </c>
    </row>
    <row r="3" customFormat="false" ht="15" hidden="false" customHeight="true" outlineLevel="0" collapsed="false">
      <c r="C3" s="4" t="s">
        <v>289</v>
      </c>
    </row>
    <row r="5" customFormat="false" ht="26.25" hidden="false" customHeight="true" outlineLevel="0" collapsed="false">
      <c r="B5" s="8" t="s">
        <v>59</v>
      </c>
      <c r="C5" s="8" t="s">
        <v>290</v>
      </c>
      <c r="D5" s="8" t="s">
        <v>291</v>
      </c>
      <c r="E5" s="8" t="s">
        <v>292</v>
      </c>
      <c r="F5" s="8" t="s">
        <v>293</v>
      </c>
    </row>
    <row r="6" customFormat="false" ht="90.75" hidden="false" customHeight="true" outlineLevel="0" collapsed="false">
      <c r="B6" s="37" t="n">
        <v>1</v>
      </c>
      <c r="C6" s="38" t="s">
        <v>294</v>
      </c>
      <c r="D6" s="89" t="n">
        <v>985</v>
      </c>
      <c r="E6" s="42" t="s">
        <v>295</v>
      </c>
      <c r="F6" s="90" t="s">
        <v>296</v>
      </c>
    </row>
    <row r="7" customFormat="false" ht="68.25" hidden="false" customHeight="true" outlineLevel="0" collapsed="false">
      <c r="B7" s="30" t="n">
        <v>2</v>
      </c>
      <c r="C7" s="82" t="s">
        <v>297</v>
      </c>
      <c r="D7" s="27" t="n">
        <v>211</v>
      </c>
      <c r="E7" s="34" t="s">
        <v>298</v>
      </c>
      <c r="F7" s="21" t="s">
        <v>299</v>
      </c>
    </row>
    <row r="8" customFormat="false" ht="79.5" hidden="false" customHeight="true" outlineLevel="0" collapsed="false">
      <c r="B8" s="30" t="n">
        <v>3</v>
      </c>
      <c r="C8" s="82" t="s">
        <v>300</v>
      </c>
      <c r="D8" s="27" t="n">
        <v>40</v>
      </c>
      <c r="E8" s="34" t="s">
        <v>301</v>
      </c>
      <c r="F8" s="21" t="s">
        <v>302</v>
      </c>
    </row>
    <row r="9" customFormat="false" ht="68.25" hidden="false" customHeight="true" outlineLevel="0" collapsed="false">
      <c r="B9" s="30" t="n">
        <v>4</v>
      </c>
      <c r="C9" s="91" t="s">
        <v>303</v>
      </c>
      <c r="D9" s="27" t="n">
        <v>8</v>
      </c>
      <c r="E9" s="34" t="s">
        <v>304</v>
      </c>
      <c r="F9" s="21" t="s">
        <v>305</v>
      </c>
    </row>
    <row r="10" customFormat="false" ht="79.5" hidden="false" customHeight="true" outlineLevel="0" collapsed="false">
      <c r="B10" s="30" t="n">
        <v>5</v>
      </c>
      <c r="C10" s="91" t="s">
        <v>306</v>
      </c>
      <c r="D10" s="27" t="n">
        <v>8</v>
      </c>
      <c r="E10" s="34" t="s">
        <v>304</v>
      </c>
      <c r="F10" s="21" t="s">
        <v>307</v>
      </c>
    </row>
    <row r="11" customFormat="false" ht="90.75" hidden="false" customHeight="true" outlineLevel="0" collapsed="false">
      <c r="B11" s="92" t="n">
        <v>6</v>
      </c>
      <c r="C11" s="54" t="s">
        <v>308</v>
      </c>
      <c r="D11" s="66" t="n">
        <v>1260</v>
      </c>
      <c r="E11" s="93" t="s">
        <v>227</v>
      </c>
      <c r="F11" s="58" t="s">
        <v>309</v>
      </c>
    </row>
    <row r="13" customFormat="false" ht="21.75" hidden="false" customHeight="true" outlineLevel="0" collapsed="false">
      <c r="B13" s="23" t="s">
        <v>310</v>
      </c>
      <c r="C13" s="23"/>
      <c r="D13" s="23"/>
      <c r="E13" s="23"/>
      <c r="F13" s="23"/>
    </row>
    <row r="14" customFormat="false" ht="54.75" hidden="false" customHeight="true" outlineLevel="0" collapsed="false">
      <c r="B14" s="24" t="s">
        <v>311</v>
      </c>
      <c r="C14" s="24"/>
      <c r="D14" s="24"/>
      <c r="E14" s="24"/>
      <c r="F14" s="24"/>
    </row>
  </sheetData>
  <mergeCells count="2"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5" min="3" style="1" width="16"/>
    <col collapsed="false" customWidth="true" hidden="false" outlineLevel="0" max="6" min="6" style="1" width="24"/>
  </cols>
  <sheetData>
    <row r="2" customFormat="false" ht="24" hidden="false" customHeight="true" outlineLevel="0" collapsed="false">
      <c r="B2" s="18" t="s">
        <v>54</v>
      </c>
      <c r="C2" s="3" t="s">
        <v>312</v>
      </c>
    </row>
    <row r="3" customFormat="false" ht="15" hidden="false" customHeight="true" outlineLevel="0" collapsed="false">
      <c r="C3" s="4" t="s">
        <v>313</v>
      </c>
    </row>
    <row r="5" customFormat="false" ht="26.25" hidden="false" customHeight="true" outlineLevel="0" collapsed="false">
      <c r="B5" s="8" t="s">
        <v>59</v>
      </c>
      <c r="C5" s="8" t="s">
        <v>293</v>
      </c>
      <c r="D5" s="8" t="s">
        <v>314</v>
      </c>
      <c r="E5" s="8" t="s">
        <v>315</v>
      </c>
      <c r="F5" s="8" t="s">
        <v>316</v>
      </c>
      <c r="G5" s="8" t="s">
        <v>317</v>
      </c>
    </row>
    <row r="6" customFormat="false" ht="60" hidden="false" customHeight="true" outlineLevel="0" collapsed="false">
      <c r="B6" s="19" t="n">
        <v>1</v>
      </c>
      <c r="C6" s="14" t="s">
        <v>318</v>
      </c>
      <c r="D6" s="21" t="s">
        <v>319</v>
      </c>
      <c r="E6" s="21" t="s">
        <v>320</v>
      </c>
      <c r="F6" s="35" t="s">
        <v>321</v>
      </c>
      <c r="G6" s="50" t="s">
        <v>322</v>
      </c>
    </row>
    <row r="7" customFormat="false" ht="60" hidden="false" customHeight="true" outlineLevel="0" collapsed="false">
      <c r="B7" s="19" t="n">
        <v>2</v>
      </c>
      <c r="C7" s="14" t="s">
        <v>323</v>
      </c>
      <c r="D7" s="21" t="s">
        <v>324</v>
      </c>
      <c r="E7" s="21" t="s">
        <v>325</v>
      </c>
      <c r="F7" s="35" t="s">
        <v>326</v>
      </c>
      <c r="G7" s="50" t="s">
        <v>327</v>
      </c>
    </row>
    <row r="8" customFormat="false" ht="60" hidden="false" customHeight="true" outlineLevel="0" collapsed="false">
      <c r="B8" s="19" t="n">
        <v>3</v>
      </c>
      <c r="C8" s="14" t="s">
        <v>328</v>
      </c>
      <c r="D8" s="21" t="s">
        <v>329</v>
      </c>
      <c r="E8" s="21" t="s">
        <v>330</v>
      </c>
      <c r="F8" s="35" t="s">
        <v>331</v>
      </c>
      <c r="G8" s="50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56"/>
  </cols>
  <sheetData>
    <row r="2" customFormat="false" ht="24" hidden="false" customHeight="true" outlineLevel="0" collapsed="false">
      <c r="B2" s="18" t="s">
        <v>54</v>
      </c>
      <c r="C2" s="3" t="s">
        <v>333</v>
      </c>
    </row>
    <row r="3" customFormat="false" ht="15" hidden="false" customHeight="true" outlineLevel="0" collapsed="false">
      <c r="C3" s="4" t="s">
        <v>334</v>
      </c>
    </row>
    <row r="5" customFormat="false" ht="39" hidden="false" customHeight="true" outlineLevel="0" collapsed="false">
      <c r="B5" s="8" t="s">
        <v>59</v>
      </c>
      <c r="C5" s="8" t="s">
        <v>335</v>
      </c>
      <c r="D5" s="8" t="s">
        <v>336</v>
      </c>
      <c r="E5" s="8" t="s">
        <v>337</v>
      </c>
    </row>
    <row r="6" customFormat="false" ht="69.75" hidden="false" customHeight="true" outlineLevel="0" collapsed="false">
      <c r="B6" s="30" t="n">
        <v>1</v>
      </c>
      <c r="C6" s="94" t="s">
        <v>338</v>
      </c>
      <c r="D6" s="21" t="s">
        <v>339</v>
      </c>
      <c r="E6" s="11" t="s">
        <v>340</v>
      </c>
    </row>
    <row r="7" customFormat="false" ht="69.75" hidden="false" customHeight="true" outlineLevel="0" collapsed="false">
      <c r="B7" s="30" t="n">
        <v>2</v>
      </c>
      <c r="C7" s="95" t="s">
        <v>341</v>
      </c>
      <c r="D7" s="21" t="s">
        <v>339</v>
      </c>
      <c r="E7" s="11" t="s">
        <v>342</v>
      </c>
    </row>
    <row r="8" customFormat="false" ht="69.75" hidden="false" customHeight="true" outlineLevel="0" collapsed="false">
      <c r="B8" s="30" t="n">
        <v>3</v>
      </c>
      <c r="C8" s="96" t="s">
        <v>343</v>
      </c>
      <c r="D8" s="21" t="s">
        <v>339</v>
      </c>
      <c r="E8" s="11" t="s">
        <v>344</v>
      </c>
    </row>
    <row r="9" customFormat="false" ht="69.75" hidden="false" customHeight="true" outlineLevel="0" collapsed="false">
      <c r="B9" s="30" t="n">
        <v>4</v>
      </c>
      <c r="C9" s="97" t="s">
        <v>345</v>
      </c>
      <c r="D9" s="21" t="s">
        <v>339</v>
      </c>
      <c r="E9" s="11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5" min="3" style="1" width="18"/>
    <col collapsed="false" customWidth="true" hidden="false" outlineLevel="0" max="6" min="6" style="1" width="24"/>
  </cols>
  <sheetData>
    <row r="2" customFormat="false" ht="24" hidden="false" customHeight="true" outlineLevel="0" collapsed="false">
      <c r="B2" s="17" t="s">
        <v>51</v>
      </c>
      <c r="C2" s="3" t="s">
        <v>347</v>
      </c>
    </row>
    <row r="3" customFormat="false" ht="15" hidden="false" customHeight="true" outlineLevel="0" collapsed="false">
      <c r="C3" s="4" t="s">
        <v>348</v>
      </c>
    </row>
    <row r="5" customFormat="false" ht="15" hidden="false" customHeight="true" outlineLevel="0" collapsed="false">
      <c r="B5" s="8" t="s">
        <v>59</v>
      </c>
      <c r="C5" s="8" t="s">
        <v>349</v>
      </c>
      <c r="D5" s="8" t="s">
        <v>350</v>
      </c>
      <c r="E5" s="8" t="s">
        <v>351</v>
      </c>
      <c r="F5" s="8" t="s">
        <v>352</v>
      </c>
      <c r="G5" s="8" t="s">
        <v>353</v>
      </c>
    </row>
    <row r="6" customFormat="false" ht="27.75" hidden="false" customHeight="true" outlineLevel="0" collapsed="false">
      <c r="B6" s="30" t="n">
        <v>1</v>
      </c>
      <c r="C6" s="14" t="s">
        <v>354</v>
      </c>
      <c r="D6" s="21" t="s">
        <v>77</v>
      </c>
      <c r="E6" s="50" t="s">
        <v>355</v>
      </c>
      <c r="F6" s="98" t="s">
        <v>356</v>
      </c>
      <c r="G6" s="79" t="s">
        <v>357</v>
      </c>
    </row>
    <row r="7" customFormat="false" ht="27.75" hidden="false" customHeight="true" outlineLevel="0" collapsed="false">
      <c r="B7" s="30" t="n">
        <v>2</v>
      </c>
      <c r="C7" s="14" t="s">
        <v>358</v>
      </c>
      <c r="D7" s="21" t="s">
        <v>77</v>
      </c>
      <c r="E7" s="50" t="s">
        <v>359</v>
      </c>
      <c r="F7" s="98" t="s">
        <v>360</v>
      </c>
      <c r="G7" s="79" t="s">
        <v>357</v>
      </c>
    </row>
    <row r="8" customFormat="false" ht="27.75" hidden="false" customHeight="true" outlineLevel="0" collapsed="false">
      <c r="B8" s="30" t="n">
        <v>3</v>
      </c>
      <c r="C8" s="14" t="s">
        <v>361</v>
      </c>
      <c r="D8" s="21" t="s">
        <v>362</v>
      </c>
      <c r="E8" s="50" t="s">
        <v>363</v>
      </c>
      <c r="F8" s="98" t="s">
        <v>166</v>
      </c>
      <c r="G8" s="79" t="s">
        <v>364</v>
      </c>
    </row>
    <row r="9" customFormat="false" ht="27.75" hidden="false" customHeight="true" outlineLevel="0" collapsed="false">
      <c r="B9" s="30" t="n">
        <v>4</v>
      </c>
      <c r="C9" s="14" t="s">
        <v>365</v>
      </c>
      <c r="D9" s="21" t="s">
        <v>77</v>
      </c>
      <c r="E9" s="50" t="s">
        <v>366</v>
      </c>
      <c r="F9" s="98" t="s">
        <v>367</v>
      </c>
      <c r="G9" s="79" t="s">
        <v>357</v>
      </c>
    </row>
    <row r="10" customFormat="false" ht="27.75" hidden="false" customHeight="true" outlineLevel="0" collapsed="false">
      <c r="B10" s="30" t="n">
        <v>5</v>
      </c>
      <c r="C10" s="14" t="s">
        <v>368</v>
      </c>
      <c r="D10" s="21" t="s">
        <v>77</v>
      </c>
      <c r="E10" s="50" t="s">
        <v>366</v>
      </c>
      <c r="F10" s="98" t="s">
        <v>369</v>
      </c>
      <c r="G10" s="79" t="s">
        <v>370</v>
      </c>
    </row>
    <row r="11" customFormat="false" ht="27.75" hidden="false" customHeight="true" outlineLevel="0" collapsed="false">
      <c r="B11" s="30" t="n">
        <v>6</v>
      </c>
      <c r="C11" s="14" t="s">
        <v>371</v>
      </c>
      <c r="D11" s="21" t="s">
        <v>372</v>
      </c>
      <c r="E11" s="50" t="s">
        <v>373</v>
      </c>
      <c r="F11" s="98" t="s">
        <v>260</v>
      </c>
      <c r="G11" s="79" t="s">
        <v>357</v>
      </c>
    </row>
    <row r="12" customFormat="false" ht="27.75" hidden="false" customHeight="true" outlineLevel="0" collapsed="false">
      <c r="B12" s="30" t="n">
        <v>7</v>
      </c>
      <c r="C12" s="14" t="s">
        <v>374</v>
      </c>
      <c r="D12" s="21" t="s">
        <v>372</v>
      </c>
      <c r="E12" s="50" t="s">
        <v>375</v>
      </c>
      <c r="F12" s="98" t="s">
        <v>268</v>
      </c>
      <c r="G12" s="79" t="s">
        <v>376</v>
      </c>
    </row>
    <row r="13" customFormat="false" ht="27.75" hidden="false" customHeight="true" outlineLevel="0" collapsed="false">
      <c r="B13" s="30" t="n">
        <v>8</v>
      </c>
      <c r="C13" s="14" t="s">
        <v>377</v>
      </c>
      <c r="D13" s="21" t="s">
        <v>372</v>
      </c>
      <c r="E13" s="50" t="s">
        <v>378</v>
      </c>
      <c r="F13" s="98" t="s">
        <v>379</v>
      </c>
      <c r="G13" s="79" t="s">
        <v>357</v>
      </c>
    </row>
    <row r="14" customFormat="false" ht="27.75" hidden="false" customHeight="true" outlineLevel="0" collapsed="false">
      <c r="B14" s="30" t="n">
        <v>9</v>
      </c>
      <c r="C14" s="14" t="s">
        <v>380</v>
      </c>
      <c r="D14" s="21" t="s">
        <v>381</v>
      </c>
      <c r="E14" s="50" t="s">
        <v>382</v>
      </c>
      <c r="F14" s="98" t="s">
        <v>383</v>
      </c>
      <c r="G14" s="79" t="s">
        <v>357</v>
      </c>
    </row>
    <row r="15" customFormat="false" ht="27.75" hidden="false" customHeight="true" outlineLevel="0" collapsed="false">
      <c r="B15" s="30" t="n">
        <v>10</v>
      </c>
      <c r="C15" s="14" t="s">
        <v>384</v>
      </c>
      <c r="D15" s="21" t="s">
        <v>385</v>
      </c>
      <c r="E15" s="50" t="s">
        <v>386</v>
      </c>
      <c r="F15" s="98" t="s">
        <v>387</v>
      </c>
      <c r="G15" s="82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22"/>
    <col collapsed="false" customWidth="true" hidden="false" outlineLevel="0" max="4" min="4" style="1" width="28"/>
  </cols>
  <sheetData>
    <row r="2" customFormat="false" ht="24" hidden="false" customHeight="true" outlineLevel="0" collapsed="false">
      <c r="B2" s="18" t="s">
        <v>54</v>
      </c>
      <c r="C2" s="3" t="s">
        <v>389</v>
      </c>
    </row>
    <row r="3" customFormat="false" ht="15" hidden="false" customHeight="true" outlineLevel="0" collapsed="false">
      <c r="C3" s="4" t="s">
        <v>390</v>
      </c>
    </row>
    <row r="5" customFormat="false" ht="26.25" hidden="false" customHeight="true" outlineLevel="0" collapsed="false">
      <c r="B5" s="8" t="s">
        <v>59</v>
      </c>
      <c r="C5" s="8" t="s">
        <v>391</v>
      </c>
      <c r="D5" s="8" t="s">
        <v>392</v>
      </c>
      <c r="E5" s="8" t="s">
        <v>393</v>
      </c>
    </row>
    <row r="6" customFormat="false" ht="21.75" hidden="false" customHeight="true" outlineLevel="0" collapsed="false">
      <c r="C6" s="99" t="s">
        <v>394</v>
      </c>
      <c r="D6" s="99"/>
      <c r="E6" s="99"/>
    </row>
    <row r="7" customFormat="false" ht="23.25" hidden="false" customHeight="true" outlineLevel="0" collapsed="false">
      <c r="B7" s="100" t="n">
        <v>1</v>
      </c>
      <c r="C7" s="11" t="s">
        <v>395</v>
      </c>
      <c r="D7" s="98" t="s">
        <v>356</v>
      </c>
      <c r="E7" s="21" t="s">
        <v>396</v>
      </c>
    </row>
    <row r="8" customFormat="false" ht="15" hidden="false" customHeight="true" outlineLevel="0" collapsed="false">
      <c r="B8" s="100" t="n">
        <v>2</v>
      </c>
      <c r="C8" s="11" t="s">
        <v>397</v>
      </c>
      <c r="D8" s="98" t="s">
        <v>360</v>
      </c>
      <c r="E8" s="21" t="s">
        <v>398</v>
      </c>
    </row>
    <row r="9" customFormat="false" ht="34.5" hidden="false" customHeight="true" outlineLevel="0" collapsed="false">
      <c r="B9" s="100" t="n">
        <v>3</v>
      </c>
      <c r="C9" s="11" t="s">
        <v>399</v>
      </c>
      <c r="D9" s="98" t="s">
        <v>166</v>
      </c>
      <c r="E9" s="21" t="s">
        <v>400</v>
      </c>
    </row>
    <row r="10" customFormat="false" ht="15" hidden="false" customHeight="true" outlineLevel="0" collapsed="false">
      <c r="B10" s="100" t="n">
        <v>4</v>
      </c>
      <c r="C10" s="11" t="s">
        <v>401</v>
      </c>
      <c r="D10" s="98" t="s">
        <v>402</v>
      </c>
      <c r="E10" s="21" t="s">
        <v>403</v>
      </c>
    </row>
    <row r="11" customFormat="false" ht="15" hidden="false" customHeight="true" outlineLevel="0" collapsed="false">
      <c r="B11" s="100" t="n">
        <v>5</v>
      </c>
      <c r="C11" s="11" t="s">
        <v>404</v>
      </c>
      <c r="D11" s="98" t="s">
        <v>405</v>
      </c>
      <c r="E11" s="21" t="s">
        <v>403</v>
      </c>
    </row>
    <row r="12" customFormat="false" ht="23.25" hidden="false" customHeight="true" outlineLevel="0" collapsed="false">
      <c r="B12" s="100" t="n">
        <v>6</v>
      </c>
      <c r="C12" s="11" t="s">
        <v>406</v>
      </c>
      <c r="D12" s="98" t="s">
        <v>367</v>
      </c>
      <c r="E12" s="21" t="s">
        <v>407</v>
      </c>
    </row>
    <row r="13" customFormat="false" ht="23.25" hidden="false" customHeight="true" outlineLevel="0" collapsed="false">
      <c r="B13" s="100" t="n">
        <v>7</v>
      </c>
      <c r="C13" s="11" t="s">
        <v>408</v>
      </c>
      <c r="D13" s="98" t="s">
        <v>369</v>
      </c>
      <c r="E13" s="21" t="s">
        <v>407</v>
      </c>
    </row>
    <row r="14" customFormat="false" ht="15" hidden="false" customHeight="true" outlineLevel="0" collapsed="false">
      <c r="B14" s="100" t="n">
        <v>8</v>
      </c>
      <c r="C14" s="11" t="s">
        <v>409</v>
      </c>
      <c r="D14" s="98" t="s">
        <v>410</v>
      </c>
      <c r="E14" s="21" t="s">
        <v>411</v>
      </c>
    </row>
    <row r="15" customFormat="false" ht="21.75" hidden="false" customHeight="true" outlineLevel="0" collapsed="false">
      <c r="C15" s="99" t="s">
        <v>412</v>
      </c>
      <c r="D15" s="99"/>
      <c r="E15" s="99"/>
    </row>
    <row r="16" customFormat="false" ht="15" hidden="false" customHeight="true" outlineLevel="0" collapsed="false">
      <c r="B16" s="100" t="n">
        <v>9</v>
      </c>
      <c r="C16" s="11" t="s">
        <v>413</v>
      </c>
      <c r="D16" s="98" t="s">
        <v>259</v>
      </c>
      <c r="E16" s="21" t="s">
        <v>414</v>
      </c>
    </row>
    <row r="17" customFormat="false" ht="15" hidden="false" customHeight="true" outlineLevel="0" collapsed="false">
      <c r="B17" s="100" t="n">
        <v>10</v>
      </c>
      <c r="C17" s="11" t="s">
        <v>415</v>
      </c>
      <c r="D17" s="98" t="s">
        <v>263</v>
      </c>
      <c r="E17" s="21" t="s">
        <v>414</v>
      </c>
    </row>
    <row r="18" customFormat="false" ht="15" hidden="false" customHeight="true" outlineLevel="0" collapsed="false">
      <c r="B18" s="100" t="n">
        <v>11</v>
      </c>
      <c r="C18" s="11" t="s">
        <v>416</v>
      </c>
      <c r="D18" s="98" t="s">
        <v>267</v>
      </c>
      <c r="E18" s="21" t="s">
        <v>414</v>
      </c>
    </row>
    <row r="19" customFormat="false" ht="15" hidden="false" customHeight="true" outlineLevel="0" collapsed="false">
      <c r="B19" s="100" t="n">
        <v>12</v>
      </c>
      <c r="C19" s="11" t="s">
        <v>417</v>
      </c>
      <c r="D19" s="98" t="s">
        <v>260</v>
      </c>
      <c r="E19" s="21" t="s">
        <v>414</v>
      </c>
    </row>
    <row r="20" customFormat="false" ht="15" hidden="false" customHeight="true" outlineLevel="0" collapsed="false">
      <c r="B20" s="100" t="n">
        <v>13</v>
      </c>
      <c r="C20" s="11" t="s">
        <v>418</v>
      </c>
      <c r="D20" s="98" t="s">
        <v>264</v>
      </c>
      <c r="E20" s="21" t="s">
        <v>414</v>
      </c>
    </row>
    <row r="21" customFormat="false" ht="15" hidden="false" customHeight="true" outlineLevel="0" collapsed="false">
      <c r="B21" s="100" t="n">
        <v>14</v>
      </c>
      <c r="C21" s="11" t="s">
        <v>419</v>
      </c>
      <c r="D21" s="98" t="s">
        <v>268</v>
      </c>
      <c r="E21" s="21" t="s">
        <v>414</v>
      </c>
    </row>
    <row r="22" customFormat="false" ht="23.25" hidden="false" customHeight="true" outlineLevel="0" collapsed="false">
      <c r="B22" s="100" t="n">
        <v>15</v>
      </c>
      <c r="C22" s="11" t="s">
        <v>420</v>
      </c>
      <c r="D22" s="98" t="s">
        <v>421</v>
      </c>
      <c r="E22" s="21" t="s">
        <v>422</v>
      </c>
    </row>
    <row r="23" customFormat="false" ht="21.75" hidden="false" customHeight="true" outlineLevel="0" collapsed="false">
      <c r="C23" s="99" t="s">
        <v>423</v>
      </c>
      <c r="D23" s="99"/>
      <c r="E23" s="99"/>
    </row>
    <row r="24" customFormat="false" ht="15" hidden="false" customHeight="true" outlineLevel="0" collapsed="false">
      <c r="B24" s="100" t="n">
        <v>16</v>
      </c>
      <c r="C24" s="11" t="s">
        <v>424</v>
      </c>
      <c r="D24" s="98" t="s">
        <v>379</v>
      </c>
      <c r="E24" s="21" t="s">
        <v>425</v>
      </c>
    </row>
    <row r="25" customFormat="false" ht="15" hidden="false" customHeight="true" outlineLevel="0" collapsed="false">
      <c r="B25" s="100" t="n">
        <v>17</v>
      </c>
      <c r="C25" s="11" t="s">
        <v>426</v>
      </c>
      <c r="D25" s="98" t="s">
        <v>427</v>
      </c>
      <c r="E25" s="21" t="s">
        <v>425</v>
      </c>
    </row>
    <row r="26" customFormat="false" ht="15" hidden="false" customHeight="true" outlineLevel="0" collapsed="false">
      <c r="B26" s="100" t="n">
        <v>18</v>
      </c>
      <c r="C26" s="11" t="s">
        <v>428</v>
      </c>
      <c r="D26" s="98" t="s">
        <v>429</v>
      </c>
      <c r="E26" s="21" t="s">
        <v>425</v>
      </c>
    </row>
    <row r="27" customFormat="false" ht="21.75" hidden="false" customHeight="true" outlineLevel="0" collapsed="false">
      <c r="C27" s="99" t="s">
        <v>430</v>
      </c>
      <c r="D27" s="99"/>
      <c r="E27" s="99"/>
    </row>
    <row r="28" customFormat="false" ht="15" hidden="false" customHeight="true" outlineLevel="0" collapsed="false">
      <c r="B28" s="100" t="n">
        <v>19</v>
      </c>
      <c r="C28" s="11" t="s">
        <v>431</v>
      </c>
      <c r="D28" s="98" t="s">
        <v>432</v>
      </c>
      <c r="E28" s="21" t="s">
        <v>433</v>
      </c>
    </row>
    <row r="29" customFormat="false" ht="15" hidden="false" customHeight="true" outlineLevel="0" collapsed="false">
      <c r="B29" s="100" t="n">
        <v>20</v>
      </c>
      <c r="C29" s="11" t="s">
        <v>434</v>
      </c>
      <c r="D29" s="98" t="s">
        <v>435</v>
      </c>
      <c r="E29" s="21" t="s">
        <v>433</v>
      </c>
    </row>
    <row r="30" customFormat="false" ht="23.25" hidden="false" customHeight="true" outlineLevel="0" collapsed="false">
      <c r="B30" s="100" t="n">
        <v>21</v>
      </c>
      <c r="C30" s="11" t="s">
        <v>436</v>
      </c>
      <c r="D30" s="98" t="s">
        <v>437</v>
      </c>
      <c r="E30" s="21" t="s">
        <v>433</v>
      </c>
    </row>
    <row r="31" customFormat="false" ht="15" hidden="false" customHeight="true" outlineLevel="0" collapsed="false">
      <c r="B31" s="100" t="n">
        <v>22</v>
      </c>
      <c r="C31" s="11" t="s">
        <v>438</v>
      </c>
      <c r="D31" s="98" t="s">
        <v>439</v>
      </c>
      <c r="E31" s="21" t="s">
        <v>433</v>
      </c>
    </row>
    <row r="32" customFormat="false" ht="21.75" hidden="false" customHeight="true" outlineLevel="0" collapsed="false">
      <c r="C32" s="99" t="s">
        <v>440</v>
      </c>
      <c r="D32" s="99"/>
      <c r="E32" s="99"/>
    </row>
    <row r="33" customFormat="false" ht="23.25" hidden="false" customHeight="true" outlineLevel="0" collapsed="false">
      <c r="B33" s="100" t="n">
        <v>23</v>
      </c>
      <c r="C33" s="11" t="s">
        <v>441</v>
      </c>
      <c r="D33" s="98" t="s">
        <v>387</v>
      </c>
      <c r="E33" s="21" t="s">
        <v>442</v>
      </c>
    </row>
    <row r="34" customFormat="false" ht="23.25" hidden="false" customHeight="true" outlineLevel="0" collapsed="false">
      <c r="B34" s="100" t="n">
        <v>24</v>
      </c>
      <c r="C34" s="11" t="s">
        <v>443</v>
      </c>
      <c r="D34" s="98" t="s">
        <v>444</v>
      </c>
      <c r="E34" s="21" t="s">
        <v>442</v>
      </c>
    </row>
    <row r="35" customFormat="false" ht="15" hidden="false" customHeight="true" outlineLevel="0" collapsed="false">
      <c r="B35" s="100" t="n">
        <v>25</v>
      </c>
      <c r="C35" s="11" t="s">
        <v>445</v>
      </c>
      <c r="D35" s="98" t="s">
        <v>446</v>
      </c>
      <c r="E35" s="21" t="s">
        <v>411</v>
      </c>
    </row>
    <row r="36" customFormat="false" ht="15" hidden="false" customHeight="true" outlineLevel="0" collapsed="false">
      <c r="B36" s="100" t="n">
        <v>26</v>
      </c>
      <c r="C36" s="11" t="s">
        <v>447</v>
      </c>
      <c r="D36" s="98" t="s">
        <v>448</v>
      </c>
      <c r="E36" s="21" t="s">
        <v>411</v>
      </c>
    </row>
  </sheetData>
  <mergeCells count="5">
    <mergeCell ref="C6:E6"/>
    <mergeCell ref="C15:E15"/>
    <mergeCell ref="C23:E23"/>
    <mergeCell ref="C27:E27"/>
    <mergeCell ref="C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1" width="14"/>
  </cols>
  <sheetData>
    <row r="1" customFormat="false" ht="15" hidden="false" customHeight="true" outlineLevel="0" collapsed="false">
      <c r="A1" s="2" t="s">
        <v>449</v>
      </c>
    </row>
    <row r="2" customFormat="false" ht="24" hidden="false" customHeight="true" outlineLevel="0" collapsed="false">
      <c r="A2" s="3" t="s">
        <v>450</v>
      </c>
    </row>
    <row r="3" customFormat="false" ht="15" hidden="false" customHeight="true" outlineLevel="0" collapsed="false">
      <c r="A3" s="4" t="s">
        <v>451</v>
      </c>
    </row>
    <row r="5" customFormat="false" ht="26.25" hidden="false" customHeight="true" outlineLevel="0" collapsed="false">
      <c r="A5" s="8" t="s">
        <v>102</v>
      </c>
      <c r="B5" s="8" t="s">
        <v>452</v>
      </c>
      <c r="C5" s="8" t="s">
        <v>453</v>
      </c>
      <c r="D5" s="8" t="s">
        <v>454</v>
      </c>
      <c r="E5" s="8" t="s">
        <v>455</v>
      </c>
      <c r="F5" s="8" t="s">
        <v>456</v>
      </c>
      <c r="G5" s="8" t="s">
        <v>457</v>
      </c>
      <c r="H5" s="8" t="s">
        <v>458</v>
      </c>
      <c r="I5" s="8" t="s">
        <v>459</v>
      </c>
      <c r="J5" s="8" t="s">
        <v>103</v>
      </c>
      <c r="K5" s="8" t="s">
        <v>104</v>
      </c>
      <c r="L5" s="8" t="s">
        <v>460</v>
      </c>
      <c r="M5" s="8" t="s">
        <v>461</v>
      </c>
      <c r="N5" s="8" t="s">
        <v>462</v>
      </c>
      <c r="O5" s="8" t="s">
        <v>463</v>
      </c>
      <c r="P5" s="8" t="s">
        <v>464</v>
      </c>
      <c r="Q5" s="8" t="s">
        <v>465</v>
      </c>
      <c r="R5" s="8" t="s">
        <v>466</v>
      </c>
      <c r="S5" s="8" t="s">
        <v>106</v>
      </c>
      <c r="T5" s="8" t="s">
        <v>467</v>
      </c>
      <c r="U5" s="8" t="s">
        <v>468</v>
      </c>
      <c r="V5" s="8" t="s">
        <v>469</v>
      </c>
    </row>
    <row r="6" customFormat="false" ht="15" hidden="false" customHeight="true" outlineLevel="0" collapsed="false">
      <c r="A6" s="101" t="s">
        <v>110</v>
      </c>
      <c r="B6" s="101" t="s">
        <v>470</v>
      </c>
      <c r="C6" s="101" t="s">
        <v>471</v>
      </c>
      <c r="D6" s="101" t="s">
        <v>472</v>
      </c>
      <c r="E6" s="101" t="s">
        <v>473</v>
      </c>
      <c r="F6" s="101" t="s">
        <v>474</v>
      </c>
      <c r="G6" s="101" t="s">
        <v>475</v>
      </c>
      <c r="H6" s="101" t="s">
        <v>476</v>
      </c>
      <c r="I6" s="101" t="s">
        <v>477</v>
      </c>
      <c r="J6" s="101" t="s">
        <v>111</v>
      </c>
      <c r="K6" s="101" t="s">
        <v>112</v>
      </c>
      <c r="L6" s="101" t="s">
        <v>478</v>
      </c>
      <c r="M6" s="101" t="n">
        <v>869</v>
      </c>
      <c r="N6" s="101" t="n">
        <v>12.67</v>
      </c>
      <c r="O6" s="101" t="n">
        <v>7.155</v>
      </c>
      <c r="P6" s="101" t="s">
        <v>113</v>
      </c>
      <c r="Q6" s="101" t="s">
        <v>113</v>
      </c>
      <c r="R6" s="101" t="s">
        <v>124</v>
      </c>
      <c r="S6" s="101" t="n">
        <v>4</v>
      </c>
      <c r="T6" s="101" t="s">
        <v>479</v>
      </c>
      <c r="U6" s="101" t="s">
        <v>124</v>
      </c>
      <c r="V6" s="101" t="n">
        <v>100.9</v>
      </c>
    </row>
    <row r="7" customFormat="false" ht="15" hidden="false" customHeight="true" outlineLevel="0" collapsed="false">
      <c r="A7" s="101" t="s">
        <v>114</v>
      </c>
      <c r="B7" s="101" t="s">
        <v>480</v>
      </c>
      <c r="C7" s="101" t="s">
        <v>481</v>
      </c>
      <c r="D7" s="101" t="s">
        <v>482</v>
      </c>
      <c r="E7" s="101" t="s">
        <v>483</v>
      </c>
      <c r="F7" s="101" t="s">
        <v>474</v>
      </c>
      <c r="G7" s="101" t="s">
        <v>475</v>
      </c>
      <c r="H7" s="101" t="s">
        <v>484</v>
      </c>
      <c r="I7" s="101" t="s">
        <v>345</v>
      </c>
      <c r="J7" s="101" t="s">
        <v>115</v>
      </c>
      <c r="K7" s="101" t="s">
        <v>116</v>
      </c>
      <c r="L7" s="101" t="s">
        <v>485</v>
      </c>
      <c r="M7" s="101" t="n">
        <v>293</v>
      </c>
      <c r="N7" s="101" t="n">
        <v>36.65</v>
      </c>
      <c r="O7" s="101" t="n">
        <v>13.365</v>
      </c>
      <c r="P7" s="101" t="s">
        <v>113</v>
      </c>
      <c r="Q7" s="101" t="s">
        <v>124</v>
      </c>
      <c r="R7" s="101" t="s">
        <v>124</v>
      </c>
      <c r="S7" s="101" t="s">
        <v>486</v>
      </c>
      <c r="T7" s="101" t="s">
        <v>487</v>
      </c>
      <c r="U7" s="101" t="s">
        <v>124</v>
      </c>
      <c r="V7" s="101" t="n">
        <v>203.38</v>
      </c>
    </row>
    <row r="8" customFormat="false" ht="15" hidden="false" customHeight="true" outlineLevel="0" collapsed="false">
      <c r="A8" s="101" t="s">
        <v>117</v>
      </c>
      <c r="B8" s="101" t="s">
        <v>488</v>
      </c>
      <c r="C8" s="101" t="s">
        <v>489</v>
      </c>
      <c r="D8" s="101" t="s">
        <v>490</v>
      </c>
      <c r="E8" s="101" t="s">
        <v>491</v>
      </c>
      <c r="F8" s="101" t="s">
        <v>492</v>
      </c>
      <c r="G8" s="101" t="s">
        <v>475</v>
      </c>
      <c r="H8" s="101" t="s">
        <v>493</v>
      </c>
      <c r="I8" s="101" t="s">
        <v>494</v>
      </c>
      <c r="J8" s="101" t="s">
        <v>118</v>
      </c>
      <c r="K8" s="101" t="s">
        <v>112</v>
      </c>
      <c r="L8" s="101" t="s">
        <v>495</v>
      </c>
      <c r="M8" s="101" t="n">
        <v>32</v>
      </c>
      <c r="N8" s="101" t="n">
        <v>1.96</v>
      </c>
      <c r="O8" s="101" t="n">
        <v>16.32</v>
      </c>
      <c r="P8" s="101" t="s">
        <v>113</v>
      </c>
      <c r="Q8" s="101" t="s">
        <v>113</v>
      </c>
      <c r="R8" s="101" t="s">
        <v>124</v>
      </c>
      <c r="S8" s="101" t="s">
        <v>486</v>
      </c>
      <c r="T8" s="101" t="s">
        <v>496</v>
      </c>
      <c r="U8" s="101" t="s">
        <v>124</v>
      </c>
      <c r="V8" s="101" t="n">
        <v>282.29</v>
      </c>
    </row>
    <row r="9" customFormat="false" ht="15" hidden="false" customHeight="true" outlineLevel="0" collapsed="false">
      <c r="A9" s="101" t="s">
        <v>119</v>
      </c>
      <c r="B9" s="101" t="s">
        <v>497</v>
      </c>
      <c r="C9" s="101" t="s">
        <v>498</v>
      </c>
      <c r="D9" s="101" t="s">
        <v>499</v>
      </c>
      <c r="E9" s="101" t="s">
        <v>500</v>
      </c>
      <c r="F9" s="101" t="s">
        <v>501</v>
      </c>
      <c r="G9" s="101" t="s">
        <v>502</v>
      </c>
      <c r="H9" s="101" t="s">
        <v>484</v>
      </c>
      <c r="I9" s="101" t="s">
        <v>345</v>
      </c>
      <c r="J9" s="101" t="s">
        <v>118</v>
      </c>
      <c r="K9" s="101" t="s">
        <v>120</v>
      </c>
      <c r="L9" s="101" t="s">
        <v>503</v>
      </c>
      <c r="M9" s="101" t="n">
        <v>112</v>
      </c>
      <c r="N9" s="101" t="n">
        <v>5.13</v>
      </c>
      <c r="O9" s="101" t="n">
        <v>70.605</v>
      </c>
      <c r="P9" s="101" t="s">
        <v>113</v>
      </c>
      <c r="Q9" s="101" t="s">
        <v>124</v>
      </c>
      <c r="R9" s="101" t="s">
        <v>124</v>
      </c>
      <c r="S9" s="101"/>
      <c r="T9" s="101" t="s">
        <v>487</v>
      </c>
      <c r="U9" s="101" t="s">
        <v>124</v>
      </c>
      <c r="V9" s="101" t="n">
        <v>1221.28</v>
      </c>
    </row>
    <row r="10" customFormat="false" ht="15" hidden="false" customHeight="true" outlineLevel="0" collapsed="false">
      <c r="A10" s="101" t="s">
        <v>121</v>
      </c>
      <c r="B10" s="101" t="s">
        <v>504</v>
      </c>
      <c r="C10" s="101" t="s">
        <v>505</v>
      </c>
      <c r="D10" s="101" t="s">
        <v>506</v>
      </c>
      <c r="E10" s="101" t="s">
        <v>507</v>
      </c>
      <c r="F10" s="101" t="s">
        <v>508</v>
      </c>
      <c r="G10" s="101" t="s">
        <v>475</v>
      </c>
      <c r="H10" s="101" t="s">
        <v>509</v>
      </c>
      <c r="I10" s="101" t="s">
        <v>345</v>
      </c>
      <c r="J10" s="101" t="s">
        <v>111</v>
      </c>
      <c r="K10" s="101" t="s">
        <v>112</v>
      </c>
      <c r="L10" s="101" t="s">
        <v>510</v>
      </c>
      <c r="M10" s="101" t="n">
        <v>683</v>
      </c>
      <c r="N10" s="101" t="n">
        <v>3.62</v>
      </c>
      <c r="O10" s="101" t="n">
        <v>6.4</v>
      </c>
      <c r="P10" s="101" t="s">
        <v>113</v>
      </c>
      <c r="Q10" s="101" t="s">
        <v>124</v>
      </c>
      <c r="R10" s="101" t="s">
        <v>124</v>
      </c>
      <c r="S10" s="101" t="n">
        <v>4</v>
      </c>
      <c r="T10" s="101" t="s">
        <v>479</v>
      </c>
      <c r="U10" s="101" t="s">
        <v>124</v>
      </c>
      <c r="V10" s="101" t="n">
        <v>90.26</v>
      </c>
    </row>
    <row r="11" customFormat="false" ht="15" hidden="false" customHeight="true" outlineLevel="0" collapsed="false">
      <c r="A11" s="101" t="s">
        <v>122</v>
      </c>
      <c r="B11" s="101" t="s">
        <v>511</v>
      </c>
      <c r="C11" s="101" t="s">
        <v>512</v>
      </c>
      <c r="D11" s="101" t="s">
        <v>513</v>
      </c>
      <c r="E11" s="101" t="s">
        <v>514</v>
      </c>
      <c r="F11" s="101" t="s">
        <v>515</v>
      </c>
      <c r="G11" s="101" t="s">
        <v>516</v>
      </c>
      <c r="H11" s="101" t="s">
        <v>517</v>
      </c>
      <c r="I11" s="101" t="s">
        <v>345</v>
      </c>
      <c r="J11" s="101" t="s">
        <v>123</v>
      </c>
      <c r="K11" s="101" t="s">
        <v>120</v>
      </c>
      <c r="L11" s="101" t="s">
        <v>518</v>
      </c>
      <c r="M11" s="101" t="n">
        <v>19209</v>
      </c>
      <c r="N11" s="101" t="n">
        <v>0.3</v>
      </c>
      <c r="O11" s="101" t="n">
        <v>18.8</v>
      </c>
      <c r="P11" s="101" t="s">
        <v>124</v>
      </c>
      <c r="Q11" s="101" t="s">
        <v>113</v>
      </c>
      <c r="R11" s="101" t="s">
        <v>124</v>
      </c>
      <c r="S11" s="101" t="n">
        <v>4</v>
      </c>
      <c r="T11" s="101" t="s">
        <v>479</v>
      </c>
      <c r="U11" s="101" t="s">
        <v>124</v>
      </c>
      <c r="V11" s="101" t="n">
        <v>141</v>
      </c>
    </row>
    <row r="12" customFormat="false" ht="15" hidden="false" customHeight="true" outlineLevel="0" collapsed="false">
      <c r="A12" s="101" t="s">
        <v>125</v>
      </c>
      <c r="B12" s="101" t="s">
        <v>519</v>
      </c>
      <c r="C12" s="101" t="s">
        <v>520</v>
      </c>
      <c r="D12" s="101" t="s">
        <v>521</v>
      </c>
      <c r="E12" s="101" t="s">
        <v>473</v>
      </c>
      <c r="F12" s="101" t="s">
        <v>508</v>
      </c>
      <c r="G12" s="101" t="s">
        <v>475</v>
      </c>
      <c r="H12" s="101" t="s">
        <v>476</v>
      </c>
      <c r="I12" s="101" t="s">
        <v>477</v>
      </c>
      <c r="J12" s="101" t="s">
        <v>123</v>
      </c>
      <c r="K12" s="101" t="s">
        <v>116</v>
      </c>
      <c r="L12" s="101" t="s">
        <v>522</v>
      </c>
      <c r="M12" s="101" t="n">
        <v>2177</v>
      </c>
      <c r="N12" s="101" t="n">
        <v>10.11</v>
      </c>
      <c r="O12" s="101" t="n">
        <v>27</v>
      </c>
      <c r="P12" s="101" t="s">
        <v>113</v>
      </c>
      <c r="Q12" s="101" t="s">
        <v>124</v>
      </c>
      <c r="R12" s="101" t="s">
        <v>113</v>
      </c>
      <c r="S12" s="101" t="n">
        <v>3</v>
      </c>
      <c r="T12" s="101" t="s">
        <v>487</v>
      </c>
      <c r="U12" s="101" t="s">
        <v>124</v>
      </c>
      <c r="V12" s="101" t="n">
        <v>202.5</v>
      </c>
    </row>
    <row r="13" customFormat="false" ht="15" hidden="false" customHeight="true" outlineLevel="0" collapsed="false">
      <c r="A13" s="101" t="s">
        <v>126</v>
      </c>
      <c r="B13" s="101" t="s">
        <v>523</v>
      </c>
      <c r="C13" s="101" t="s">
        <v>524</v>
      </c>
      <c r="D13" s="101" t="s">
        <v>525</v>
      </c>
      <c r="E13" s="101" t="s">
        <v>514</v>
      </c>
      <c r="F13" s="101" t="s">
        <v>474</v>
      </c>
      <c r="G13" s="101" t="s">
        <v>475</v>
      </c>
      <c r="H13" s="101" t="s">
        <v>476</v>
      </c>
      <c r="I13" s="101" t="s">
        <v>477</v>
      </c>
      <c r="J13" s="101" t="s">
        <v>118</v>
      </c>
      <c r="K13" s="101" t="s">
        <v>199</v>
      </c>
      <c r="L13" s="101" t="s">
        <v>526</v>
      </c>
      <c r="M13" s="101" t="n">
        <v>101</v>
      </c>
      <c r="N13" s="101" t="n">
        <v>1.31</v>
      </c>
      <c r="O13" s="101" t="n">
        <v>23.76</v>
      </c>
      <c r="P13" s="101" t="s">
        <v>113</v>
      </c>
      <c r="Q13" s="101" t="s">
        <v>113</v>
      </c>
      <c r="R13" s="101" t="s">
        <v>124</v>
      </c>
      <c r="S13" s="101" t="s">
        <v>486</v>
      </c>
      <c r="T13" s="101" t="s">
        <v>479</v>
      </c>
      <c r="U13" s="101" t="s">
        <v>124</v>
      </c>
      <c r="V13" s="101" t="n">
        <v>410.98</v>
      </c>
    </row>
    <row r="14" customFormat="false" ht="15" hidden="false" customHeight="true" outlineLevel="0" collapsed="false">
      <c r="A14" s="101" t="s">
        <v>128</v>
      </c>
      <c r="B14" s="101" t="s">
        <v>527</v>
      </c>
      <c r="C14" s="101" t="s">
        <v>528</v>
      </c>
      <c r="D14" s="101" t="s">
        <v>529</v>
      </c>
      <c r="E14" s="101" t="s">
        <v>514</v>
      </c>
      <c r="F14" s="101" t="s">
        <v>530</v>
      </c>
      <c r="G14" s="101" t="s">
        <v>516</v>
      </c>
      <c r="H14" s="101" t="s">
        <v>517</v>
      </c>
      <c r="I14" s="101" t="s">
        <v>345</v>
      </c>
      <c r="J14" s="101" t="s">
        <v>111</v>
      </c>
      <c r="K14" s="101" t="s">
        <v>194</v>
      </c>
      <c r="L14" s="101" t="s">
        <v>531</v>
      </c>
      <c r="M14" s="101" t="n">
        <v>126</v>
      </c>
      <c r="N14" s="101" t="n">
        <v>1.91</v>
      </c>
      <c r="O14" s="101" t="n">
        <v>11.1</v>
      </c>
      <c r="P14" s="101" t="s">
        <v>113</v>
      </c>
      <c r="Q14" s="101" t="s">
        <v>113</v>
      </c>
      <c r="R14" s="101" t="s">
        <v>124</v>
      </c>
      <c r="S14" s="101" t="s">
        <v>486</v>
      </c>
      <c r="T14" s="101" t="s">
        <v>479</v>
      </c>
      <c r="U14" s="101" t="s">
        <v>124</v>
      </c>
      <c r="V14" s="101" t="n">
        <v>156.54</v>
      </c>
    </row>
    <row r="15" customFormat="false" ht="15" hidden="false" customHeight="true" outlineLevel="0" collapsed="false">
      <c r="A15" s="101" t="s">
        <v>130</v>
      </c>
      <c r="B15" s="101" t="s">
        <v>532</v>
      </c>
      <c r="C15" s="101" t="s">
        <v>533</v>
      </c>
      <c r="D15" s="101" t="s">
        <v>534</v>
      </c>
      <c r="E15" s="101" t="s">
        <v>491</v>
      </c>
      <c r="F15" s="101" t="s">
        <v>508</v>
      </c>
      <c r="G15" s="101" t="s">
        <v>475</v>
      </c>
      <c r="H15" s="101" t="s">
        <v>493</v>
      </c>
      <c r="I15" s="101" t="s">
        <v>494</v>
      </c>
      <c r="J15" s="101" t="s">
        <v>118</v>
      </c>
      <c r="K15" s="101" t="s">
        <v>120</v>
      </c>
      <c r="L15" s="101" t="s">
        <v>535</v>
      </c>
      <c r="M15" s="101" t="n">
        <v>89</v>
      </c>
      <c r="N15" s="101" t="n">
        <v>6.54</v>
      </c>
      <c r="O15" s="101" t="n">
        <v>34.255</v>
      </c>
      <c r="P15" s="101" t="s">
        <v>113</v>
      </c>
      <c r="Q15" s="101" t="s">
        <v>113</v>
      </c>
      <c r="R15" s="101" t="s">
        <v>124</v>
      </c>
      <c r="S15" s="101" t="n">
        <v>4</v>
      </c>
      <c r="T15" s="101" t="s">
        <v>479</v>
      </c>
      <c r="U15" s="101" t="s">
        <v>124</v>
      </c>
      <c r="V15" s="101" t="n">
        <v>592.52</v>
      </c>
    </row>
    <row r="16" customFormat="false" ht="15" hidden="false" customHeight="true" outlineLevel="0" collapsed="false">
      <c r="A16" s="101" t="s">
        <v>131</v>
      </c>
      <c r="B16" s="101" t="s">
        <v>536</v>
      </c>
      <c r="C16" s="101" t="s">
        <v>537</v>
      </c>
      <c r="D16" s="101" t="s">
        <v>538</v>
      </c>
      <c r="E16" s="101" t="s">
        <v>539</v>
      </c>
      <c r="F16" s="101" t="s">
        <v>530</v>
      </c>
      <c r="G16" s="101" t="s">
        <v>516</v>
      </c>
      <c r="H16" s="101" t="s">
        <v>540</v>
      </c>
      <c r="I16" s="101" t="s">
        <v>477</v>
      </c>
      <c r="J16" s="101" t="s">
        <v>118</v>
      </c>
      <c r="K16" s="101" t="s">
        <v>120</v>
      </c>
      <c r="L16" s="101" t="s">
        <v>541</v>
      </c>
      <c r="M16" s="101" t="n">
        <v>30</v>
      </c>
      <c r="N16" s="101" t="n">
        <v>6.54</v>
      </c>
      <c r="O16" s="101" t="n">
        <v>11.7</v>
      </c>
      <c r="P16" s="101" t="s">
        <v>113</v>
      </c>
      <c r="Q16" s="101" t="s">
        <v>124</v>
      </c>
      <c r="R16" s="101" t="s">
        <v>124</v>
      </c>
      <c r="S16" s="101" t="n">
        <v>3</v>
      </c>
      <c r="T16" s="101" t="s">
        <v>487</v>
      </c>
      <c r="U16" s="101" t="s">
        <v>124</v>
      </c>
      <c r="V16" s="101" t="n">
        <v>202.38</v>
      </c>
    </row>
    <row r="17" customFormat="false" ht="15" hidden="false" customHeight="true" outlineLevel="0" collapsed="false">
      <c r="A17" s="101" t="s">
        <v>132</v>
      </c>
      <c r="B17" s="101" t="s">
        <v>542</v>
      </c>
      <c r="C17" s="101" t="s">
        <v>543</v>
      </c>
      <c r="D17" s="101" t="s">
        <v>544</v>
      </c>
      <c r="E17" s="101" t="s">
        <v>483</v>
      </c>
      <c r="F17" s="101" t="s">
        <v>545</v>
      </c>
      <c r="G17" s="101" t="s">
        <v>546</v>
      </c>
      <c r="H17" s="101" t="s">
        <v>517</v>
      </c>
      <c r="I17" s="101" t="s">
        <v>345</v>
      </c>
      <c r="J17" s="101" t="s">
        <v>133</v>
      </c>
      <c r="K17" s="101"/>
      <c r="L17" s="101" t="s">
        <v>547</v>
      </c>
      <c r="M17" s="101" t="n">
        <v>21</v>
      </c>
      <c r="N17" s="101" t="n">
        <v>1.63</v>
      </c>
      <c r="O17" s="101" t="n">
        <v>1.4</v>
      </c>
      <c r="P17" s="101" t="s">
        <v>113</v>
      </c>
      <c r="Q17" s="101" t="s">
        <v>113</v>
      </c>
      <c r="R17" s="101" t="s">
        <v>124</v>
      </c>
      <c r="S17" s="101" t="n">
        <v>4</v>
      </c>
      <c r="T17" s="101" t="s">
        <v>479</v>
      </c>
      <c r="U17" s="101" t="s">
        <v>124</v>
      </c>
      <c r="V17" s="101" t="n">
        <v>6.72</v>
      </c>
    </row>
    <row r="18" customFormat="false" ht="15" hidden="false" customHeight="true" outlineLevel="0" collapsed="false">
      <c r="A18" s="101" t="s">
        <v>134</v>
      </c>
      <c r="B18" s="101" t="s">
        <v>548</v>
      </c>
      <c r="C18" s="101" t="s">
        <v>549</v>
      </c>
      <c r="D18" s="101" t="s">
        <v>550</v>
      </c>
      <c r="E18" s="101" t="s">
        <v>500</v>
      </c>
      <c r="F18" s="101" t="s">
        <v>515</v>
      </c>
      <c r="G18" s="101" t="s">
        <v>516</v>
      </c>
      <c r="H18" s="101" t="s">
        <v>517</v>
      </c>
      <c r="I18" s="101" t="s">
        <v>345</v>
      </c>
      <c r="J18" s="101" t="s">
        <v>115</v>
      </c>
      <c r="K18" s="101" t="s">
        <v>112</v>
      </c>
      <c r="L18" s="101" t="s">
        <v>551</v>
      </c>
      <c r="M18" s="101" t="n">
        <v>130</v>
      </c>
      <c r="N18" s="101" t="n">
        <v>0.09</v>
      </c>
      <c r="O18" s="101" t="n">
        <v>11.7</v>
      </c>
      <c r="P18" s="101" t="s">
        <v>113</v>
      </c>
      <c r="Q18" s="101" t="s">
        <v>113</v>
      </c>
      <c r="R18" s="101" t="s">
        <v>124</v>
      </c>
      <c r="S18" s="101" t="n">
        <v>4</v>
      </c>
      <c r="T18" s="101" t="s">
        <v>479</v>
      </c>
      <c r="U18" s="101" t="s">
        <v>124</v>
      </c>
      <c r="V18" s="101" t="n">
        <v>178.04</v>
      </c>
    </row>
    <row r="19" customFormat="false" ht="15" hidden="false" customHeight="true" outlineLevel="0" collapsed="false">
      <c r="A19" s="101" t="s">
        <v>135</v>
      </c>
      <c r="B19" s="101" t="s">
        <v>552</v>
      </c>
      <c r="C19" s="101" t="s">
        <v>553</v>
      </c>
      <c r="D19" s="101" t="s">
        <v>554</v>
      </c>
      <c r="E19" s="101" t="s">
        <v>483</v>
      </c>
      <c r="F19" s="101" t="s">
        <v>515</v>
      </c>
      <c r="G19" s="101" t="s">
        <v>516</v>
      </c>
      <c r="H19" s="101" t="s">
        <v>484</v>
      </c>
      <c r="I19" s="101" t="s">
        <v>345</v>
      </c>
      <c r="J19" s="101" t="s">
        <v>111</v>
      </c>
      <c r="K19" s="101" t="s">
        <v>194</v>
      </c>
      <c r="L19" s="101" t="s">
        <v>555</v>
      </c>
      <c r="M19" s="101" t="n">
        <v>658</v>
      </c>
      <c r="N19" s="101" t="n">
        <v>4.79</v>
      </c>
      <c r="O19" s="101" t="n">
        <v>4.185</v>
      </c>
      <c r="P19" s="101" t="s">
        <v>113</v>
      </c>
      <c r="Q19" s="101" t="s">
        <v>113</v>
      </c>
      <c r="R19" s="101" t="s">
        <v>124</v>
      </c>
      <c r="S19" s="101" t="n">
        <v>3</v>
      </c>
      <c r="T19" s="101" t="s">
        <v>487</v>
      </c>
      <c r="U19" s="101" t="s">
        <v>124</v>
      </c>
      <c r="V19" s="101" t="n">
        <v>59.02</v>
      </c>
    </row>
    <row r="20" customFormat="false" ht="15" hidden="false" customHeight="true" outlineLevel="0" collapsed="false">
      <c r="A20" s="101" t="s">
        <v>136</v>
      </c>
      <c r="B20" s="101" t="s">
        <v>556</v>
      </c>
      <c r="C20" s="101" t="s">
        <v>557</v>
      </c>
      <c r="D20" s="101" t="s">
        <v>558</v>
      </c>
      <c r="E20" s="101" t="s">
        <v>539</v>
      </c>
      <c r="F20" s="101" t="s">
        <v>559</v>
      </c>
      <c r="G20" s="101" t="s">
        <v>560</v>
      </c>
      <c r="H20" s="101" t="s">
        <v>561</v>
      </c>
      <c r="I20" s="101" t="s">
        <v>345</v>
      </c>
      <c r="J20" s="101" t="s">
        <v>118</v>
      </c>
      <c r="K20" s="101" t="s">
        <v>116</v>
      </c>
      <c r="L20" s="101" t="s">
        <v>562</v>
      </c>
      <c r="M20" s="101" t="n">
        <v>120</v>
      </c>
      <c r="N20" s="101" t="n">
        <v>0.61</v>
      </c>
      <c r="O20" s="101" t="n">
        <v>11.6</v>
      </c>
      <c r="P20" s="101" t="s">
        <v>113</v>
      </c>
      <c r="Q20" s="101" t="s">
        <v>113</v>
      </c>
      <c r="R20" s="101" t="s">
        <v>124</v>
      </c>
      <c r="S20" s="101"/>
      <c r="T20" s="101" t="s">
        <v>479</v>
      </c>
      <c r="U20" s="101" t="s">
        <v>124</v>
      </c>
      <c r="V20" s="101" t="n">
        <v>200.65</v>
      </c>
    </row>
    <row r="21" customFormat="false" ht="15" hidden="false" customHeight="true" outlineLevel="0" collapsed="false">
      <c r="A21" s="101" t="s">
        <v>137</v>
      </c>
      <c r="B21" s="101" t="s">
        <v>563</v>
      </c>
      <c r="C21" s="101" t="s">
        <v>564</v>
      </c>
      <c r="D21" s="101" t="s">
        <v>565</v>
      </c>
      <c r="E21" s="101" t="s">
        <v>473</v>
      </c>
      <c r="F21" s="101" t="s">
        <v>566</v>
      </c>
      <c r="G21" s="101" t="s">
        <v>546</v>
      </c>
      <c r="H21" s="101" t="s">
        <v>509</v>
      </c>
      <c r="I21" s="101" t="s">
        <v>345</v>
      </c>
      <c r="J21" s="101" t="s">
        <v>115</v>
      </c>
      <c r="K21" s="101" t="s">
        <v>120</v>
      </c>
      <c r="L21" s="101" t="s">
        <v>567</v>
      </c>
      <c r="M21" s="101" t="n">
        <v>171</v>
      </c>
      <c r="N21" s="101" t="n">
        <v>0.69</v>
      </c>
      <c r="O21" s="101" t="n">
        <v>4.3</v>
      </c>
      <c r="P21" s="101" t="s">
        <v>113</v>
      </c>
      <c r="Q21" s="101" t="s">
        <v>124</v>
      </c>
      <c r="R21" s="101" t="s">
        <v>124</v>
      </c>
      <c r="S21" s="101" t="n">
        <v>3</v>
      </c>
      <c r="T21" s="101" t="s">
        <v>487</v>
      </c>
      <c r="U21" s="101" t="s">
        <v>124</v>
      </c>
      <c r="V21" s="101" t="n">
        <v>65.43</v>
      </c>
    </row>
    <row r="22" customFormat="false" ht="15" hidden="false" customHeight="true" outlineLevel="0" collapsed="false">
      <c r="A22" s="101" t="s">
        <v>138</v>
      </c>
      <c r="B22" s="101" t="s">
        <v>568</v>
      </c>
      <c r="C22" s="101" t="s">
        <v>569</v>
      </c>
      <c r="D22" s="101" t="s">
        <v>570</v>
      </c>
      <c r="E22" s="101" t="s">
        <v>539</v>
      </c>
      <c r="F22" s="101" t="s">
        <v>501</v>
      </c>
      <c r="G22" s="101" t="s">
        <v>502</v>
      </c>
      <c r="H22" s="101" t="s">
        <v>517</v>
      </c>
      <c r="I22" s="101" t="s">
        <v>345</v>
      </c>
      <c r="J22" s="101" t="s">
        <v>115</v>
      </c>
      <c r="K22" s="101" t="s">
        <v>120</v>
      </c>
      <c r="L22" s="101" t="s">
        <v>571</v>
      </c>
      <c r="M22" s="101" t="n">
        <v>187</v>
      </c>
      <c r="N22" s="101" t="n">
        <v>12.27</v>
      </c>
      <c r="O22" s="101" t="n">
        <v>3.1</v>
      </c>
      <c r="P22" s="101" t="s">
        <v>113</v>
      </c>
      <c r="Q22" s="101" t="s">
        <v>113</v>
      </c>
      <c r="R22" s="101" t="s">
        <v>124</v>
      </c>
      <c r="S22" s="101" t="n">
        <v>5</v>
      </c>
      <c r="T22" s="101" t="s">
        <v>496</v>
      </c>
      <c r="U22" s="101" t="s">
        <v>124</v>
      </c>
      <c r="V22" s="101" t="n">
        <v>47.17</v>
      </c>
    </row>
    <row r="23" customFormat="false" ht="15" hidden="false" customHeight="true" outlineLevel="0" collapsed="false">
      <c r="A23" s="101" t="s">
        <v>139</v>
      </c>
      <c r="B23" s="101" t="s">
        <v>572</v>
      </c>
      <c r="C23" s="101" t="s">
        <v>573</v>
      </c>
      <c r="D23" s="101" t="s">
        <v>574</v>
      </c>
      <c r="E23" s="101" t="s">
        <v>500</v>
      </c>
      <c r="F23" s="101" t="s">
        <v>474</v>
      </c>
      <c r="G23" s="101" t="s">
        <v>475</v>
      </c>
      <c r="H23" s="101" t="s">
        <v>509</v>
      </c>
      <c r="I23" s="101" t="s">
        <v>345</v>
      </c>
      <c r="J23" s="101" t="s">
        <v>115</v>
      </c>
      <c r="K23" s="101" t="s">
        <v>194</v>
      </c>
      <c r="L23" s="101" t="s">
        <v>531</v>
      </c>
      <c r="M23" s="101" t="n">
        <v>201</v>
      </c>
      <c r="N23" s="101" t="n">
        <v>1.9</v>
      </c>
      <c r="O23" s="101" t="n">
        <v>14.5</v>
      </c>
      <c r="P23" s="101" t="s">
        <v>113</v>
      </c>
      <c r="Q23" s="101" t="s">
        <v>113</v>
      </c>
      <c r="R23" s="101" t="s">
        <v>124</v>
      </c>
      <c r="S23" s="101"/>
      <c r="T23" s="101" t="s">
        <v>479</v>
      </c>
      <c r="U23" s="101" t="s">
        <v>124</v>
      </c>
      <c r="V23" s="101" t="n">
        <v>220.65</v>
      </c>
    </row>
    <row r="24" customFormat="false" ht="15" hidden="false" customHeight="true" outlineLevel="0" collapsed="false">
      <c r="A24" s="101" t="s">
        <v>140</v>
      </c>
      <c r="B24" s="101" t="s">
        <v>575</v>
      </c>
      <c r="C24" s="101" t="s">
        <v>576</v>
      </c>
      <c r="D24" s="101" t="s">
        <v>577</v>
      </c>
      <c r="E24" s="101" t="s">
        <v>500</v>
      </c>
      <c r="F24" s="101" t="s">
        <v>474</v>
      </c>
      <c r="G24" s="101" t="s">
        <v>475</v>
      </c>
      <c r="H24" s="101" t="s">
        <v>561</v>
      </c>
      <c r="I24" s="101" t="s">
        <v>345</v>
      </c>
      <c r="J24" s="101" t="s">
        <v>118</v>
      </c>
      <c r="K24" s="101" t="s">
        <v>112</v>
      </c>
      <c r="L24" s="101" t="s">
        <v>578</v>
      </c>
      <c r="M24" s="101" t="n">
        <v>54</v>
      </c>
      <c r="N24" s="101" t="n">
        <v>0.31</v>
      </c>
      <c r="O24" s="101" t="n">
        <v>20.3</v>
      </c>
      <c r="P24" s="101" t="s">
        <v>113</v>
      </c>
      <c r="Q24" s="101" t="s">
        <v>113</v>
      </c>
      <c r="R24" s="101" t="s">
        <v>124</v>
      </c>
      <c r="S24" s="101" t="n">
        <v>4</v>
      </c>
      <c r="T24" s="101" t="s">
        <v>479</v>
      </c>
      <c r="U24" s="101" t="s">
        <v>124</v>
      </c>
      <c r="V24" s="101" t="n">
        <v>351.14</v>
      </c>
    </row>
    <row r="25" customFormat="false" ht="15" hidden="false" customHeight="true" outlineLevel="0" collapsed="false">
      <c r="A25" s="101" t="s">
        <v>141</v>
      </c>
      <c r="B25" s="101" t="s">
        <v>579</v>
      </c>
      <c r="C25" s="101" t="s">
        <v>580</v>
      </c>
      <c r="D25" s="101" t="s">
        <v>581</v>
      </c>
      <c r="E25" s="101" t="s">
        <v>514</v>
      </c>
      <c r="F25" s="101" t="s">
        <v>515</v>
      </c>
      <c r="G25" s="101" t="s">
        <v>516</v>
      </c>
      <c r="H25" s="101" t="s">
        <v>484</v>
      </c>
      <c r="I25" s="101" t="s">
        <v>345</v>
      </c>
      <c r="J25" s="101" t="s">
        <v>115</v>
      </c>
      <c r="K25" s="101" t="s">
        <v>116</v>
      </c>
      <c r="L25" s="101" t="s">
        <v>582</v>
      </c>
      <c r="M25" s="101" t="n">
        <v>150</v>
      </c>
      <c r="N25" s="101" t="n">
        <v>7.34</v>
      </c>
      <c r="O25" s="101" t="n">
        <v>13.095</v>
      </c>
      <c r="P25" s="101" t="s">
        <v>113</v>
      </c>
      <c r="Q25" s="101" t="s">
        <v>113</v>
      </c>
      <c r="R25" s="101" t="s">
        <v>124</v>
      </c>
      <c r="S25" s="101" t="n">
        <v>5</v>
      </c>
      <c r="T25" s="101" t="s">
        <v>496</v>
      </c>
      <c r="U25" s="101" t="s">
        <v>124</v>
      </c>
      <c r="V25" s="101" t="n">
        <v>199.27</v>
      </c>
    </row>
    <row r="26" customFormat="false" ht="15" hidden="false" customHeight="true" outlineLevel="0" collapsed="false">
      <c r="A26" s="101" t="s">
        <v>142</v>
      </c>
      <c r="B26" s="101" t="s">
        <v>583</v>
      </c>
      <c r="C26" s="101" t="s">
        <v>584</v>
      </c>
      <c r="D26" s="101" t="s">
        <v>585</v>
      </c>
      <c r="E26" s="101" t="s">
        <v>507</v>
      </c>
      <c r="F26" s="101" t="s">
        <v>474</v>
      </c>
      <c r="G26" s="101" t="s">
        <v>475</v>
      </c>
      <c r="H26" s="101" t="s">
        <v>476</v>
      </c>
      <c r="I26" s="101" t="s">
        <v>477</v>
      </c>
      <c r="J26" s="101" t="s">
        <v>118</v>
      </c>
      <c r="K26" s="101" t="s">
        <v>199</v>
      </c>
      <c r="L26" s="101" t="s">
        <v>586</v>
      </c>
      <c r="M26" s="101" t="n">
        <v>39</v>
      </c>
      <c r="N26" s="101" t="n">
        <v>37.71</v>
      </c>
      <c r="O26" s="101" t="n">
        <v>29.97</v>
      </c>
      <c r="P26" s="101" t="s">
        <v>113</v>
      </c>
      <c r="Q26" s="101" t="s">
        <v>113</v>
      </c>
      <c r="R26" s="101" t="s">
        <v>124</v>
      </c>
      <c r="S26" s="101"/>
      <c r="T26" s="101" t="s">
        <v>479</v>
      </c>
      <c r="U26" s="101" t="s">
        <v>124</v>
      </c>
      <c r="V26" s="101" t="n">
        <v>518.4</v>
      </c>
    </row>
    <row r="27" customFormat="false" ht="15" hidden="false" customHeight="true" outlineLevel="0" collapsed="false">
      <c r="A27" s="101" t="s">
        <v>143</v>
      </c>
      <c r="B27" s="101" t="s">
        <v>587</v>
      </c>
      <c r="C27" s="101" t="s">
        <v>588</v>
      </c>
      <c r="D27" s="101" t="s">
        <v>482</v>
      </c>
      <c r="E27" s="101" t="s">
        <v>483</v>
      </c>
      <c r="F27" s="101" t="s">
        <v>545</v>
      </c>
      <c r="G27" s="101" t="s">
        <v>546</v>
      </c>
      <c r="H27" s="101" t="s">
        <v>493</v>
      </c>
      <c r="I27" s="101" t="s">
        <v>494</v>
      </c>
      <c r="J27" s="101" t="s">
        <v>118</v>
      </c>
      <c r="K27" s="101" t="s">
        <v>120</v>
      </c>
      <c r="L27" s="101" t="s">
        <v>503</v>
      </c>
      <c r="M27" s="101" t="n">
        <v>20</v>
      </c>
      <c r="N27" s="101" t="n">
        <v>20.24</v>
      </c>
      <c r="O27" s="101" t="n">
        <v>9.435</v>
      </c>
      <c r="P27" s="101" t="s">
        <v>113</v>
      </c>
      <c r="Q27" s="101" t="s">
        <v>113</v>
      </c>
      <c r="R27" s="101" t="s">
        <v>124</v>
      </c>
      <c r="S27" s="101" t="n">
        <v>4</v>
      </c>
      <c r="T27" s="101" t="s">
        <v>479</v>
      </c>
      <c r="U27" s="101" t="s">
        <v>124</v>
      </c>
      <c r="V27" s="101" t="n">
        <v>163.2</v>
      </c>
    </row>
    <row r="28" customFormat="false" ht="15" hidden="false" customHeight="true" outlineLevel="0" collapsed="false">
      <c r="A28" s="101" t="s">
        <v>144</v>
      </c>
      <c r="B28" s="101" t="s">
        <v>589</v>
      </c>
      <c r="C28" s="101" t="s">
        <v>590</v>
      </c>
      <c r="D28" s="101" t="s">
        <v>591</v>
      </c>
      <c r="E28" s="101" t="s">
        <v>507</v>
      </c>
      <c r="F28" s="101" t="s">
        <v>501</v>
      </c>
      <c r="G28" s="101" t="s">
        <v>502</v>
      </c>
      <c r="H28" s="101" t="s">
        <v>592</v>
      </c>
      <c r="I28" s="101" t="s">
        <v>593</v>
      </c>
      <c r="J28" s="101" t="s">
        <v>118</v>
      </c>
      <c r="K28" s="101" t="s">
        <v>116</v>
      </c>
      <c r="L28" s="101" t="s">
        <v>594</v>
      </c>
      <c r="M28" s="101" t="n">
        <v>105</v>
      </c>
      <c r="N28" s="101" t="n">
        <v>1.56</v>
      </c>
      <c r="O28" s="101" t="n">
        <v>19.2</v>
      </c>
      <c r="P28" s="101" t="s">
        <v>113</v>
      </c>
      <c r="Q28" s="101" t="s">
        <v>113</v>
      </c>
      <c r="R28" s="101" t="s">
        <v>124</v>
      </c>
      <c r="S28" s="101" t="n">
        <v>5</v>
      </c>
      <c r="T28" s="101" t="s">
        <v>496</v>
      </c>
      <c r="U28" s="101" t="s">
        <v>124</v>
      </c>
      <c r="V28" s="101" t="n">
        <v>332.11</v>
      </c>
    </row>
    <row r="29" customFormat="false" ht="15" hidden="false" customHeight="true" outlineLevel="0" collapsed="false">
      <c r="A29" s="101" t="s">
        <v>145</v>
      </c>
      <c r="B29" s="101" t="s">
        <v>595</v>
      </c>
      <c r="C29" s="101" t="s">
        <v>596</v>
      </c>
      <c r="D29" s="101" t="s">
        <v>597</v>
      </c>
      <c r="E29" s="101" t="s">
        <v>500</v>
      </c>
      <c r="F29" s="101" t="s">
        <v>559</v>
      </c>
      <c r="G29" s="101" t="s">
        <v>560</v>
      </c>
      <c r="H29" s="101" t="s">
        <v>484</v>
      </c>
      <c r="I29" s="101" t="s">
        <v>345</v>
      </c>
      <c r="J29" s="101" t="s">
        <v>118</v>
      </c>
      <c r="K29" s="101" t="s">
        <v>116</v>
      </c>
      <c r="L29" s="101" t="s">
        <v>598</v>
      </c>
      <c r="M29" s="101" t="n">
        <v>37</v>
      </c>
      <c r="N29" s="101" t="n">
        <v>1.25</v>
      </c>
      <c r="O29" s="101" t="n">
        <v>12.96</v>
      </c>
      <c r="P29" s="101" t="s">
        <v>113</v>
      </c>
      <c r="Q29" s="101" t="s">
        <v>113</v>
      </c>
      <c r="R29" s="101" t="s">
        <v>124</v>
      </c>
      <c r="S29" s="101" t="n">
        <v>4</v>
      </c>
      <c r="T29" s="101" t="s">
        <v>479</v>
      </c>
      <c r="U29" s="101" t="s">
        <v>124</v>
      </c>
      <c r="V29" s="101" t="n">
        <v>224.17</v>
      </c>
    </row>
    <row r="30" customFormat="false" ht="15" hidden="false" customHeight="true" outlineLevel="0" collapsed="false">
      <c r="A30" s="101" t="s">
        <v>146</v>
      </c>
      <c r="B30" s="101" t="s">
        <v>599</v>
      </c>
      <c r="C30" s="101" t="s">
        <v>600</v>
      </c>
      <c r="D30" s="101" t="s">
        <v>601</v>
      </c>
      <c r="E30" s="101" t="s">
        <v>473</v>
      </c>
      <c r="F30" s="101" t="s">
        <v>508</v>
      </c>
      <c r="G30" s="101" t="s">
        <v>475</v>
      </c>
      <c r="H30" s="101" t="s">
        <v>517</v>
      </c>
      <c r="I30" s="101" t="s">
        <v>345</v>
      </c>
      <c r="J30" s="101" t="s">
        <v>123</v>
      </c>
      <c r="K30" s="101" t="s">
        <v>116</v>
      </c>
      <c r="L30" s="101" t="s">
        <v>602</v>
      </c>
      <c r="M30" s="101" t="n">
        <v>8063</v>
      </c>
      <c r="N30" s="101" t="n">
        <v>7.14</v>
      </c>
      <c r="O30" s="101" t="n">
        <v>33.9</v>
      </c>
      <c r="P30" s="101" t="s">
        <v>113</v>
      </c>
      <c r="Q30" s="101" t="s">
        <v>113</v>
      </c>
      <c r="R30" s="101" t="s">
        <v>124</v>
      </c>
      <c r="S30" s="101" t="n">
        <v>5</v>
      </c>
      <c r="T30" s="101" t="s">
        <v>496</v>
      </c>
      <c r="U30" s="101" t="s">
        <v>124</v>
      </c>
      <c r="V30" s="101" t="n">
        <v>254.25</v>
      </c>
    </row>
    <row r="31" customFormat="false" ht="15" hidden="false" customHeight="true" outlineLevel="0" collapsed="false">
      <c r="A31" s="101" t="s">
        <v>603</v>
      </c>
      <c r="B31" s="101" t="s">
        <v>604</v>
      </c>
      <c r="C31" s="101" t="s">
        <v>605</v>
      </c>
      <c r="D31" s="101" t="s">
        <v>490</v>
      </c>
      <c r="E31" s="101" t="s">
        <v>491</v>
      </c>
      <c r="F31" s="101" t="s">
        <v>515</v>
      </c>
      <c r="G31" s="101" t="s">
        <v>516</v>
      </c>
      <c r="H31" s="101" t="s">
        <v>484</v>
      </c>
      <c r="I31" s="101" t="s">
        <v>345</v>
      </c>
      <c r="J31" s="101" t="s">
        <v>115</v>
      </c>
      <c r="K31" s="101" t="s">
        <v>199</v>
      </c>
      <c r="L31" s="101" t="s">
        <v>606</v>
      </c>
      <c r="M31" s="101" t="n">
        <v>116</v>
      </c>
      <c r="N31" s="101" t="n">
        <v>7.2</v>
      </c>
      <c r="O31" s="101" t="n">
        <v>13.77</v>
      </c>
      <c r="P31" s="101" t="s">
        <v>113</v>
      </c>
      <c r="Q31" s="101" t="s">
        <v>113</v>
      </c>
      <c r="R31" s="101" t="s">
        <v>124</v>
      </c>
      <c r="S31" s="101" t="n">
        <v>5</v>
      </c>
      <c r="T31" s="101" t="s">
        <v>496</v>
      </c>
      <c r="U31" s="101" t="s">
        <v>124</v>
      </c>
      <c r="V31" s="101" t="n">
        <v>209.54</v>
      </c>
    </row>
    <row r="32" customFormat="false" ht="15" hidden="false" customHeight="true" outlineLevel="0" collapsed="false">
      <c r="A32" s="101" t="s">
        <v>607</v>
      </c>
      <c r="B32" s="101" t="s">
        <v>608</v>
      </c>
      <c r="C32" s="101" t="s">
        <v>609</v>
      </c>
      <c r="D32" s="101" t="s">
        <v>610</v>
      </c>
      <c r="E32" s="101" t="s">
        <v>473</v>
      </c>
      <c r="F32" s="101" t="s">
        <v>492</v>
      </c>
      <c r="G32" s="101" t="s">
        <v>475</v>
      </c>
      <c r="H32" s="101" t="s">
        <v>493</v>
      </c>
      <c r="I32" s="101" t="s">
        <v>494</v>
      </c>
      <c r="J32" s="101" t="s">
        <v>133</v>
      </c>
      <c r="K32" s="101"/>
      <c r="L32" s="101" t="s">
        <v>547</v>
      </c>
      <c r="M32" s="101" t="n">
        <v>23</v>
      </c>
      <c r="N32" s="101" t="n">
        <v>16.39</v>
      </c>
      <c r="O32" s="101" t="n">
        <v>2.295</v>
      </c>
      <c r="P32" s="101" t="s">
        <v>113</v>
      </c>
      <c r="Q32" s="101" t="s">
        <v>113</v>
      </c>
      <c r="R32" s="101" t="s">
        <v>124</v>
      </c>
      <c r="S32" s="101" t="n">
        <v>3</v>
      </c>
      <c r="T32" s="101" t="s">
        <v>487</v>
      </c>
      <c r="U32" s="101" t="s">
        <v>124</v>
      </c>
      <c r="V32" s="101" t="n">
        <v>11.02</v>
      </c>
    </row>
    <row r="33" customFormat="false" ht="15" hidden="false" customHeight="true" outlineLevel="0" collapsed="false">
      <c r="A33" s="101" t="s">
        <v>611</v>
      </c>
      <c r="B33" s="101" t="s">
        <v>612</v>
      </c>
      <c r="C33" s="101" t="s">
        <v>613</v>
      </c>
      <c r="D33" s="101" t="s">
        <v>614</v>
      </c>
      <c r="E33" s="101" t="s">
        <v>491</v>
      </c>
      <c r="F33" s="101" t="s">
        <v>530</v>
      </c>
      <c r="G33" s="101" t="s">
        <v>516</v>
      </c>
      <c r="H33" s="101" t="s">
        <v>484</v>
      </c>
      <c r="I33" s="101" t="s">
        <v>345</v>
      </c>
      <c r="J33" s="101" t="s">
        <v>111</v>
      </c>
      <c r="K33" s="101" t="s">
        <v>199</v>
      </c>
      <c r="L33" s="101" t="s">
        <v>615</v>
      </c>
      <c r="M33" s="101" t="n">
        <v>406</v>
      </c>
      <c r="N33" s="101" t="n">
        <v>2.61</v>
      </c>
      <c r="O33" s="101" t="n">
        <v>13.365</v>
      </c>
      <c r="P33" s="101" t="s">
        <v>113</v>
      </c>
      <c r="Q33" s="101" t="s">
        <v>124</v>
      </c>
      <c r="R33" s="101" t="s">
        <v>113</v>
      </c>
      <c r="S33" s="101" t="n">
        <v>2</v>
      </c>
      <c r="T33" s="101" t="s">
        <v>616</v>
      </c>
      <c r="U33" s="101" t="s">
        <v>124</v>
      </c>
      <c r="V33" s="101" t="n">
        <v>188.48</v>
      </c>
    </row>
    <row r="34" customFormat="false" ht="15" hidden="false" customHeight="true" outlineLevel="0" collapsed="false">
      <c r="A34" s="101" t="s">
        <v>617</v>
      </c>
      <c r="B34" s="101" t="s">
        <v>618</v>
      </c>
      <c r="C34" s="101" t="s">
        <v>619</v>
      </c>
      <c r="D34" s="101" t="s">
        <v>620</v>
      </c>
      <c r="E34" s="101" t="s">
        <v>539</v>
      </c>
      <c r="F34" s="101" t="s">
        <v>559</v>
      </c>
      <c r="G34" s="101" t="s">
        <v>560</v>
      </c>
      <c r="H34" s="101" t="s">
        <v>484</v>
      </c>
      <c r="I34" s="101" t="s">
        <v>345</v>
      </c>
      <c r="J34" s="101" t="s">
        <v>118</v>
      </c>
      <c r="K34" s="101" t="s">
        <v>116</v>
      </c>
      <c r="L34" s="101" t="s">
        <v>621</v>
      </c>
      <c r="M34" s="101" t="n">
        <v>30</v>
      </c>
      <c r="N34" s="101" t="n">
        <v>1.86</v>
      </c>
      <c r="O34" s="101" t="n">
        <v>37.26</v>
      </c>
      <c r="P34" s="101" t="s">
        <v>113</v>
      </c>
      <c r="Q34" s="101" t="s">
        <v>124</v>
      </c>
      <c r="R34" s="101" t="s">
        <v>113</v>
      </c>
      <c r="S34" s="101" t="n">
        <v>4</v>
      </c>
      <c r="T34" s="101" t="s">
        <v>479</v>
      </c>
      <c r="U34" s="101" t="s">
        <v>124</v>
      </c>
      <c r="V34" s="101" t="n">
        <v>644.5</v>
      </c>
    </row>
    <row r="35" customFormat="false" ht="15" hidden="false" customHeight="true" outlineLevel="0" collapsed="false">
      <c r="A35" s="101" t="s">
        <v>622</v>
      </c>
      <c r="B35" s="101" t="s">
        <v>623</v>
      </c>
      <c r="C35" s="101" t="s">
        <v>624</v>
      </c>
      <c r="D35" s="101" t="s">
        <v>625</v>
      </c>
      <c r="E35" s="101" t="s">
        <v>514</v>
      </c>
      <c r="F35" s="101" t="s">
        <v>501</v>
      </c>
      <c r="G35" s="101" t="s">
        <v>502</v>
      </c>
      <c r="H35" s="101" t="s">
        <v>493</v>
      </c>
      <c r="I35" s="101" t="s">
        <v>494</v>
      </c>
      <c r="J35" s="101" t="s">
        <v>133</v>
      </c>
      <c r="K35" s="101"/>
      <c r="L35" s="101" t="s">
        <v>547</v>
      </c>
      <c r="M35" s="101" t="n">
        <v>25</v>
      </c>
      <c r="N35" s="101" t="n">
        <v>4.82</v>
      </c>
      <c r="O35" s="101" t="n">
        <v>1.275</v>
      </c>
      <c r="P35" s="101" t="s">
        <v>113</v>
      </c>
      <c r="Q35" s="101" t="s">
        <v>113</v>
      </c>
      <c r="R35" s="101" t="s">
        <v>124</v>
      </c>
      <c r="S35" s="101" t="s">
        <v>486</v>
      </c>
      <c r="T35" s="101" t="s">
        <v>479</v>
      </c>
      <c r="U35" s="101" t="s">
        <v>124</v>
      </c>
      <c r="V35" s="101" t="n">
        <v>6.12</v>
      </c>
    </row>
    <row r="36" customFormat="false" ht="15" hidden="false" customHeight="true" outlineLevel="0" collapsed="false">
      <c r="A36" s="101" t="s">
        <v>626</v>
      </c>
      <c r="B36" s="101" t="s">
        <v>627</v>
      </c>
      <c r="C36" s="101" t="s">
        <v>628</v>
      </c>
      <c r="D36" s="101" t="s">
        <v>629</v>
      </c>
      <c r="E36" s="101" t="s">
        <v>491</v>
      </c>
      <c r="F36" s="101" t="s">
        <v>474</v>
      </c>
      <c r="G36" s="101" t="s">
        <v>475</v>
      </c>
      <c r="H36" s="101" t="s">
        <v>517</v>
      </c>
      <c r="I36" s="101" t="s">
        <v>345</v>
      </c>
      <c r="J36" s="101" t="s">
        <v>111</v>
      </c>
      <c r="K36" s="101" t="s">
        <v>116</v>
      </c>
      <c r="L36" s="101" t="s">
        <v>630</v>
      </c>
      <c r="M36" s="101" t="n">
        <v>882</v>
      </c>
      <c r="N36" s="101" t="n">
        <v>0.42</v>
      </c>
      <c r="O36" s="101" t="n">
        <v>3.5</v>
      </c>
      <c r="P36" s="101" t="s">
        <v>113</v>
      </c>
      <c r="Q36" s="101" t="s">
        <v>124</v>
      </c>
      <c r="R36" s="101" t="s">
        <v>124</v>
      </c>
      <c r="S36" s="101"/>
      <c r="T36" s="101" t="s">
        <v>487</v>
      </c>
      <c r="U36" s="101" t="s">
        <v>124</v>
      </c>
      <c r="V36" s="101" t="n">
        <v>49.36</v>
      </c>
    </row>
    <row r="37" customFormat="false" ht="15" hidden="false" customHeight="true" outlineLevel="0" collapsed="false">
      <c r="A37" s="101" t="s">
        <v>631</v>
      </c>
      <c r="B37" s="101" t="s">
        <v>632</v>
      </c>
      <c r="C37" s="101" t="s">
        <v>633</v>
      </c>
      <c r="D37" s="101" t="s">
        <v>634</v>
      </c>
      <c r="E37" s="101" t="s">
        <v>514</v>
      </c>
      <c r="F37" s="101" t="s">
        <v>474</v>
      </c>
      <c r="G37" s="101" t="s">
        <v>475</v>
      </c>
      <c r="H37" s="101" t="s">
        <v>561</v>
      </c>
      <c r="I37" s="101" t="s">
        <v>345</v>
      </c>
      <c r="J37" s="101" t="s">
        <v>123</v>
      </c>
      <c r="K37" s="101" t="s">
        <v>116</v>
      </c>
      <c r="L37" s="101" t="s">
        <v>621</v>
      </c>
      <c r="M37" s="101" t="n">
        <v>20101</v>
      </c>
      <c r="N37" s="101" t="n">
        <v>0.25</v>
      </c>
      <c r="O37" s="101" t="n">
        <v>70</v>
      </c>
      <c r="P37" s="101" t="s">
        <v>124</v>
      </c>
      <c r="Q37" s="101" t="s">
        <v>113</v>
      </c>
      <c r="R37" s="101" t="s">
        <v>124</v>
      </c>
      <c r="S37" s="101" t="n">
        <v>4</v>
      </c>
      <c r="T37" s="101" t="s">
        <v>479</v>
      </c>
      <c r="U37" s="101" t="s">
        <v>124</v>
      </c>
      <c r="V37" s="101" t="n">
        <v>525</v>
      </c>
    </row>
    <row r="38" customFormat="false" ht="15" hidden="false" customHeight="true" outlineLevel="0" collapsed="false">
      <c r="A38" s="101" t="s">
        <v>635</v>
      </c>
      <c r="B38" s="101" t="s">
        <v>636</v>
      </c>
      <c r="C38" s="101" t="s">
        <v>637</v>
      </c>
      <c r="D38" s="101" t="s">
        <v>638</v>
      </c>
      <c r="E38" s="101" t="s">
        <v>473</v>
      </c>
      <c r="F38" s="101" t="s">
        <v>508</v>
      </c>
      <c r="G38" s="101" t="s">
        <v>475</v>
      </c>
      <c r="H38" s="101" t="s">
        <v>509</v>
      </c>
      <c r="I38" s="101" t="s">
        <v>345</v>
      </c>
      <c r="J38" s="101" t="s">
        <v>118</v>
      </c>
      <c r="K38" s="101" t="s">
        <v>112</v>
      </c>
      <c r="L38" s="101" t="s">
        <v>639</v>
      </c>
      <c r="M38" s="101" t="n">
        <v>118</v>
      </c>
      <c r="N38" s="101" t="n">
        <v>4.15</v>
      </c>
      <c r="O38" s="101" t="n">
        <v>48.4</v>
      </c>
      <c r="P38" s="101" t="s">
        <v>113</v>
      </c>
      <c r="Q38" s="101" t="s">
        <v>113</v>
      </c>
      <c r="R38" s="101" t="s">
        <v>124</v>
      </c>
      <c r="S38" s="101" t="n">
        <v>5</v>
      </c>
      <c r="T38" s="101" t="s">
        <v>496</v>
      </c>
      <c r="U38" s="101" t="s">
        <v>124</v>
      </c>
      <c r="V38" s="101" t="n">
        <v>837.19</v>
      </c>
    </row>
    <row r="39" customFormat="false" ht="15" hidden="false" customHeight="true" outlineLevel="0" collapsed="false">
      <c r="A39" s="101" t="s">
        <v>640</v>
      </c>
      <c r="B39" s="101" t="s">
        <v>641</v>
      </c>
      <c r="C39" s="101" t="s">
        <v>642</v>
      </c>
      <c r="D39" s="101" t="s">
        <v>643</v>
      </c>
      <c r="E39" s="101" t="s">
        <v>514</v>
      </c>
      <c r="F39" s="101" t="s">
        <v>474</v>
      </c>
      <c r="G39" s="101" t="s">
        <v>475</v>
      </c>
      <c r="H39" s="101" t="s">
        <v>644</v>
      </c>
      <c r="I39" s="101" t="s">
        <v>645</v>
      </c>
      <c r="J39" s="101" t="s">
        <v>118</v>
      </c>
      <c r="K39" s="101" t="s">
        <v>120</v>
      </c>
      <c r="L39" s="101" t="s">
        <v>646</v>
      </c>
      <c r="M39" s="101" t="n">
        <v>31</v>
      </c>
      <c r="N39" s="101" t="n">
        <v>1.78</v>
      </c>
      <c r="O39" s="101" t="n">
        <v>19.575</v>
      </c>
      <c r="P39" s="101" t="s">
        <v>113</v>
      </c>
      <c r="Q39" s="101" t="s">
        <v>124</v>
      </c>
      <c r="R39" s="101" t="s">
        <v>124</v>
      </c>
      <c r="S39" s="101" t="n">
        <v>4</v>
      </c>
      <c r="T39" s="101" t="s">
        <v>479</v>
      </c>
      <c r="U39" s="101" t="s">
        <v>124</v>
      </c>
      <c r="V39" s="101" t="n">
        <v>338.59</v>
      </c>
    </row>
    <row r="40" customFormat="false" ht="15" hidden="false" customHeight="true" outlineLevel="0" collapsed="false">
      <c r="A40" s="101" t="s">
        <v>647</v>
      </c>
      <c r="B40" s="101" t="s">
        <v>648</v>
      </c>
      <c r="C40" s="101" t="s">
        <v>649</v>
      </c>
      <c r="D40" s="101" t="s">
        <v>650</v>
      </c>
      <c r="E40" s="101" t="s">
        <v>514</v>
      </c>
      <c r="F40" s="101" t="s">
        <v>492</v>
      </c>
      <c r="G40" s="101" t="s">
        <v>475</v>
      </c>
      <c r="H40" s="101" t="s">
        <v>484</v>
      </c>
      <c r="I40" s="101" t="s">
        <v>345</v>
      </c>
      <c r="J40" s="101" t="s">
        <v>133</v>
      </c>
      <c r="K40" s="101"/>
      <c r="L40" s="101" t="s">
        <v>547</v>
      </c>
      <c r="M40" s="101" t="n">
        <v>17</v>
      </c>
      <c r="N40" s="101" t="n">
        <v>1.95</v>
      </c>
      <c r="O40" s="101" t="n">
        <v>2.7</v>
      </c>
      <c r="P40" s="101" t="s">
        <v>113</v>
      </c>
      <c r="Q40" s="101" t="s">
        <v>113</v>
      </c>
      <c r="R40" s="101" t="s">
        <v>124</v>
      </c>
      <c r="S40" s="101" t="s">
        <v>486</v>
      </c>
      <c r="T40" s="101" t="s">
        <v>496</v>
      </c>
      <c r="U40" s="101" t="s">
        <v>124</v>
      </c>
      <c r="V40" s="101" t="n">
        <v>12.96</v>
      </c>
    </row>
    <row r="41" customFormat="false" ht="15" hidden="false" customHeight="true" outlineLevel="0" collapsed="false">
      <c r="A41" s="101" t="s">
        <v>651</v>
      </c>
      <c r="B41" s="101" t="s">
        <v>652</v>
      </c>
      <c r="C41" s="101" t="s">
        <v>653</v>
      </c>
      <c r="D41" s="101" t="s">
        <v>654</v>
      </c>
      <c r="E41" s="101" t="s">
        <v>473</v>
      </c>
      <c r="F41" s="101" t="s">
        <v>508</v>
      </c>
      <c r="G41" s="101" t="s">
        <v>475</v>
      </c>
      <c r="H41" s="101" t="s">
        <v>484</v>
      </c>
      <c r="I41" s="101" t="s">
        <v>345</v>
      </c>
      <c r="J41" s="101" t="s">
        <v>111</v>
      </c>
      <c r="K41" s="101" t="s">
        <v>120</v>
      </c>
      <c r="L41" s="101" t="s">
        <v>655</v>
      </c>
      <c r="M41" s="101" t="n">
        <v>754</v>
      </c>
      <c r="N41" s="101" t="n">
        <v>14.19</v>
      </c>
      <c r="O41" s="101" t="n">
        <v>10.125</v>
      </c>
      <c r="P41" s="101" t="s">
        <v>113</v>
      </c>
      <c r="Q41" s="101" t="s">
        <v>113</v>
      </c>
      <c r="R41" s="101" t="s">
        <v>124</v>
      </c>
      <c r="S41" s="101"/>
      <c r="T41" s="101" t="s">
        <v>496</v>
      </c>
      <c r="U41" s="101" t="s">
        <v>124</v>
      </c>
      <c r="V41" s="101" t="n">
        <v>142.79</v>
      </c>
    </row>
    <row r="42" customFormat="false" ht="15" hidden="false" customHeight="true" outlineLevel="0" collapsed="false">
      <c r="A42" s="101" t="s">
        <v>656</v>
      </c>
      <c r="B42" s="101" t="s">
        <v>657</v>
      </c>
      <c r="C42" s="101" t="s">
        <v>658</v>
      </c>
      <c r="D42" s="101" t="s">
        <v>659</v>
      </c>
      <c r="E42" s="101" t="s">
        <v>507</v>
      </c>
      <c r="F42" s="101" t="s">
        <v>474</v>
      </c>
      <c r="G42" s="101" t="s">
        <v>475</v>
      </c>
      <c r="H42" s="101" t="s">
        <v>476</v>
      </c>
      <c r="I42" s="101" t="s">
        <v>477</v>
      </c>
      <c r="J42" s="101" t="s">
        <v>111</v>
      </c>
      <c r="K42" s="101" t="s">
        <v>120</v>
      </c>
      <c r="L42" s="101" t="s">
        <v>655</v>
      </c>
      <c r="M42" s="101" t="n">
        <v>460</v>
      </c>
      <c r="N42" s="101" t="n">
        <v>7.01</v>
      </c>
      <c r="O42" s="101" t="n">
        <v>6.885</v>
      </c>
      <c r="P42" s="101" t="s">
        <v>113</v>
      </c>
      <c r="Q42" s="101" t="s">
        <v>113</v>
      </c>
      <c r="R42" s="101" t="s">
        <v>124</v>
      </c>
      <c r="S42" s="101" t="s">
        <v>486</v>
      </c>
      <c r="T42" s="101" t="s">
        <v>479</v>
      </c>
      <c r="U42" s="101" t="s">
        <v>124</v>
      </c>
      <c r="V42" s="101" t="n">
        <v>97.1</v>
      </c>
    </row>
    <row r="43" customFormat="false" ht="15" hidden="false" customHeight="true" outlineLevel="0" collapsed="false">
      <c r="A43" s="101" t="s">
        <v>660</v>
      </c>
      <c r="B43" s="101" t="s">
        <v>661</v>
      </c>
      <c r="C43" s="101" t="s">
        <v>662</v>
      </c>
      <c r="D43" s="101" t="s">
        <v>663</v>
      </c>
      <c r="E43" s="101" t="s">
        <v>514</v>
      </c>
      <c r="F43" s="101" t="s">
        <v>508</v>
      </c>
      <c r="G43" s="101" t="s">
        <v>475</v>
      </c>
      <c r="H43" s="101" t="s">
        <v>561</v>
      </c>
      <c r="I43" s="101" t="s">
        <v>345</v>
      </c>
      <c r="J43" s="101" t="s">
        <v>118</v>
      </c>
      <c r="K43" s="101" t="s">
        <v>199</v>
      </c>
      <c r="L43" s="101" t="s">
        <v>664</v>
      </c>
      <c r="M43" s="101" t="n">
        <v>91</v>
      </c>
      <c r="N43" s="101" t="n">
        <v>0.29</v>
      </c>
      <c r="O43" s="101" t="n">
        <v>16.9</v>
      </c>
      <c r="P43" s="101" t="s">
        <v>113</v>
      </c>
      <c r="Q43" s="101" t="s">
        <v>113</v>
      </c>
      <c r="R43" s="101" t="s">
        <v>124</v>
      </c>
      <c r="S43" s="101" t="n">
        <v>5</v>
      </c>
      <c r="T43" s="101" t="s">
        <v>496</v>
      </c>
      <c r="U43" s="101" t="s">
        <v>124</v>
      </c>
      <c r="V43" s="101" t="n">
        <v>292.32</v>
      </c>
    </row>
    <row r="44" customFormat="false" ht="15" hidden="false" customHeight="true" outlineLevel="0" collapsed="false">
      <c r="A44" s="101" t="s">
        <v>665</v>
      </c>
      <c r="B44" s="101" t="s">
        <v>666</v>
      </c>
      <c r="C44" s="101" t="s">
        <v>667</v>
      </c>
      <c r="D44" s="101" t="s">
        <v>668</v>
      </c>
      <c r="E44" s="101" t="s">
        <v>500</v>
      </c>
      <c r="F44" s="101" t="s">
        <v>530</v>
      </c>
      <c r="G44" s="101" t="s">
        <v>516</v>
      </c>
      <c r="H44" s="101" t="s">
        <v>540</v>
      </c>
      <c r="I44" s="101" t="s">
        <v>477</v>
      </c>
      <c r="J44" s="101" t="s">
        <v>118</v>
      </c>
      <c r="K44" s="101" t="s">
        <v>120</v>
      </c>
      <c r="L44" s="101" t="s">
        <v>518</v>
      </c>
      <c r="M44" s="101" t="n">
        <v>118</v>
      </c>
      <c r="N44" s="101" t="n">
        <v>10.62</v>
      </c>
      <c r="O44" s="101" t="n">
        <v>13.6</v>
      </c>
      <c r="P44" s="101" t="s">
        <v>113</v>
      </c>
      <c r="Q44" s="101" t="s">
        <v>113</v>
      </c>
      <c r="R44" s="101" t="s">
        <v>124</v>
      </c>
      <c r="S44" s="101" t="n">
        <v>4</v>
      </c>
      <c r="T44" s="101" t="s">
        <v>479</v>
      </c>
      <c r="U44" s="101" t="s">
        <v>124</v>
      </c>
      <c r="V44" s="101" t="n">
        <v>235.24</v>
      </c>
    </row>
    <row r="45" customFormat="false" ht="15" hidden="false" customHeight="true" outlineLevel="0" collapsed="false">
      <c r="A45" s="101" t="s">
        <v>669</v>
      </c>
      <c r="B45" s="101" t="s">
        <v>670</v>
      </c>
      <c r="C45" s="101" t="s">
        <v>671</v>
      </c>
      <c r="D45" s="101" t="s">
        <v>672</v>
      </c>
      <c r="E45" s="101" t="s">
        <v>491</v>
      </c>
      <c r="F45" s="101" t="s">
        <v>559</v>
      </c>
      <c r="G45" s="101" t="s">
        <v>560</v>
      </c>
      <c r="H45" s="101" t="s">
        <v>673</v>
      </c>
      <c r="I45" s="101" t="s">
        <v>645</v>
      </c>
      <c r="J45" s="101" t="s">
        <v>111</v>
      </c>
      <c r="K45" s="101" t="s">
        <v>120</v>
      </c>
      <c r="L45" s="101" t="s">
        <v>655</v>
      </c>
      <c r="M45" s="101" t="n">
        <v>612</v>
      </c>
      <c r="N45" s="101" t="n">
        <v>3.46</v>
      </c>
      <c r="O45" s="101" t="n">
        <v>5.6</v>
      </c>
      <c r="P45" s="101" t="s">
        <v>113</v>
      </c>
      <c r="Q45" s="101" t="s">
        <v>113</v>
      </c>
      <c r="R45" s="101" t="s">
        <v>124</v>
      </c>
      <c r="S45" s="101" t="n">
        <v>4</v>
      </c>
      <c r="T45" s="101" t="s">
        <v>479</v>
      </c>
      <c r="U45" s="101" t="s">
        <v>124</v>
      </c>
      <c r="V45" s="101" t="n">
        <v>78.97</v>
      </c>
    </row>
    <row r="46" customFormat="false" ht="15" hidden="false" customHeight="true" outlineLevel="0" collapsed="false">
      <c r="A46" s="101" t="s">
        <v>674</v>
      </c>
      <c r="B46" s="101" t="s">
        <v>675</v>
      </c>
      <c r="C46" s="101" t="s">
        <v>676</v>
      </c>
      <c r="D46" s="101" t="s">
        <v>506</v>
      </c>
      <c r="E46" s="101" t="s">
        <v>507</v>
      </c>
      <c r="F46" s="101" t="s">
        <v>566</v>
      </c>
      <c r="G46" s="101" t="s">
        <v>546</v>
      </c>
      <c r="H46" s="101" t="s">
        <v>592</v>
      </c>
      <c r="I46" s="101" t="s">
        <v>593</v>
      </c>
      <c r="J46" s="101" t="s">
        <v>115</v>
      </c>
      <c r="K46" s="101" t="s">
        <v>116</v>
      </c>
      <c r="L46" s="101" t="s">
        <v>677</v>
      </c>
      <c r="M46" s="101" t="n">
        <v>98</v>
      </c>
      <c r="N46" s="101" t="n">
        <v>0.84</v>
      </c>
      <c r="O46" s="101" t="n">
        <v>7.7</v>
      </c>
      <c r="P46" s="101" t="s">
        <v>113</v>
      </c>
      <c r="Q46" s="101" t="s">
        <v>113</v>
      </c>
      <c r="R46" s="101" t="s">
        <v>124</v>
      </c>
      <c r="S46" s="101" t="n">
        <v>5</v>
      </c>
      <c r="T46" s="101" t="s">
        <v>496</v>
      </c>
      <c r="U46" s="101" t="s">
        <v>124</v>
      </c>
      <c r="V46" s="101" t="n">
        <v>117.17</v>
      </c>
    </row>
    <row r="47" customFormat="false" ht="15" hidden="false" customHeight="true" outlineLevel="0" collapsed="false">
      <c r="A47" s="101" t="s">
        <v>678</v>
      </c>
      <c r="B47" s="101" t="s">
        <v>679</v>
      </c>
      <c r="C47" s="101" t="s">
        <v>680</v>
      </c>
      <c r="D47" s="101" t="s">
        <v>668</v>
      </c>
      <c r="E47" s="101" t="s">
        <v>500</v>
      </c>
      <c r="F47" s="101" t="s">
        <v>474</v>
      </c>
      <c r="G47" s="101" t="s">
        <v>475</v>
      </c>
      <c r="H47" s="101" t="s">
        <v>517</v>
      </c>
      <c r="I47" s="101" t="s">
        <v>345</v>
      </c>
      <c r="J47" s="101" t="s">
        <v>133</v>
      </c>
      <c r="K47" s="101"/>
      <c r="L47" s="101" t="s">
        <v>547</v>
      </c>
      <c r="M47" s="101" t="n">
        <v>14</v>
      </c>
      <c r="N47" s="101" t="n">
        <v>4.3</v>
      </c>
      <c r="O47" s="101" t="n">
        <v>2.9</v>
      </c>
      <c r="P47" s="101" t="s">
        <v>113</v>
      </c>
      <c r="Q47" s="101" t="s">
        <v>113</v>
      </c>
      <c r="R47" s="101" t="s">
        <v>124</v>
      </c>
      <c r="S47" s="101" t="n">
        <v>4</v>
      </c>
      <c r="T47" s="101" t="s">
        <v>479</v>
      </c>
      <c r="U47" s="101" t="s">
        <v>124</v>
      </c>
      <c r="V47" s="101" t="n">
        <v>13.92</v>
      </c>
    </row>
    <row r="48" customFormat="false" ht="15" hidden="false" customHeight="true" outlineLevel="0" collapsed="false">
      <c r="A48" s="101" t="s">
        <v>681</v>
      </c>
      <c r="B48" s="101" t="s">
        <v>682</v>
      </c>
      <c r="C48" s="101" t="s">
        <v>683</v>
      </c>
      <c r="D48" s="101" t="s">
        <v>684</v>
      </c>
      <c r="E48" s="101" t="s">
        <v>514</v>
      </c>
      <c r="F48" s="101" t="s">
        <v>501</v>
      </c>
      <c r="G48" s="101" t="s">
        <v>502</v>
      </c>
      <c r="H48" s="101" t="s">
        <v>592</v>
      </c>
      <c r="I48" s="101" t="s">
        <v>593</v>
      </c>
      <c r="J48" s="101" t="s">
        <v>115</v>
      </c>
      <c r="K48" s="101" t="s">
        <v>112</v>
      </c>
      <c r="L48" s="101" t="s">
        <v>685</v>
      </c>
      <c r="M48" s="101" t="n">
        <v>43</v>
      </c>
      <c r="N48" s="101" t="n">
        <v>1.12</v>
      </c>
      <c r="O48" s="101" t="n">
        <v>7.3</v>
      </c>
      <c r="P48" s="101" t="s">
        <v>113</v>
      </c>
      <c r="Q48" s="101" t="s">
        <v>124</v>
      </c>
      <c r="R48" s="101" t="s">
        <v>124</v>
      </c>
      <c r="S48" s="101" t="s">
        <v>486</v>
      </c>
      <c r="T48" s="101" t="s">
        <v>479</v>
      </c>
      <c r="U48" s="101" t="s">
        <v>124</v>
      </c>
      <c r="V48" s="101" t="n">
        <v>111.09</v>
      </c>
    </row>
    <row r="49" customFormat="false" ht="15" hidden="false" customHeight="true" outlineLevel="0" collapsed="false">
      <c r="A49" s="101" t="s">
        <v>686</v>
      </c>
      <c r="B49" s="101" t="s">
        <v>687</v>
      </c>
      <c r="C49" s="101" t="s">
        <v>688</v>
      </c>
      <c r="D49" s="101" t="s">
        <v>689</v>
      </c>
      <c r="E49" s="101" t="s">
        <v>500</v>
      </c>
      <c r="F49" s="101" t="s">
        <v>559</v>
      </c>
      <c r="G49" s="101" t="s">
        <v>560</v>
      </c>
      <c r="H49" s="101" t="s">
        <v>561</v>
      </c>
      <c r="I49" s="101" t="s">
        <v>345</v>
      </c>
      <c r="J49" s="101" t="s">
        <v>118</v>
      </c>
      <c r="K49" s="101" t="s">
        <v>120</v>
      </c>
      <c r="L49" s="101" t="s">
        <v>690</v>
      </c>
      <c r="M49" s="101" t="n">
        <v>69</v>
      </c>
      <c r="N49" s="101" t="n">
        <v>3.61</v>
      </c>
      <c r="O49" s="101" t="n">
        <v>16.2</v>
      </c>
      <c r="P49" s="101" t="s">
        <v>113</v>
      </c>
      <c r="Q49" s="101" t="s">
        <v>113</v>
      </c>
      <c r="R49" s="101" t="s">
        <v>124</v>
      </c>
      <c r="S49" s="101" t="n">
        <v>5</v>
      </c>
      <c r="T49" s="101" t="s">
        <v>496</v>
      </c>
      <c r="U49" s="101" t="s">
        <v>124</v>
      </c>
      <c r="V49" s="101" t="n">
        <v>280.22</v>
      </c>
    </row>
    <row r="50" customFormat="false" ht="15" hidden="false" customHeight="true" outlineLevel="0" collapsed="false">
      <c r="A50" s="101" t="s">
        <v>691</v>
      </c>
      <c r="B50" s="101" t="s">
        <v>692</v>
      </c>
      <c r="C50" s="101" t="s">
        <v>693</v>
      </c>
      <c r="D50" s="101" t="s">
        <v>694</v>
      </c>
      <c r="E50" s="101" t="s">
        <v>507</v>
      </c>
      <c r="F50" s="101" t="s">
        <v>474</v>
      </c>
      <c r="G50" s="101" t="s">
        <v>475</v>
      </c>
      <c r="H50" s="101" t="s">
        <v>493</v>
      </c>
      <c r="I50" s="101" t="s">
        <v>494</v>
      </c>
      <c r="J50" s="101" t="s">
        <v>118</v>
      </c>
      <c r="K50" s="101" t="s">
        <v>112</v>
      </c>
      <c r="L50" s="101" t="s">
        <v>695</v>
      </c>
      <c r="M50" s="101" t="n">
        <v>46</v>
      </c>
      <c r="N50" s="101" t="n">
        <v>0.3</v>
      </c>
      <c r="O50" s="101" t="n">
        <v>22.27</v>
      </c>
      <c r="P50" s="101" t="s">
        <v>113</v>
      </c>
      <c r="Q50" s="101" t="s">
        <v>113</v>
      </c>
      <c r="R50" s="101" t="s">
        <v>124</v>
      </c>
      <c r="S50" s="101" t="n">
        <v>5</v>
      </c>
      <c r="T50" s="101" t="s">
        <v>496</v>
      </c>
      <c r="U50" s="101" t="s">
        <v>124</v>
      </c>
      <c r="V50" s="101" t="n">
        <v>385.21</v>
      </c>
    </row>
    <row r="51" customFormat="false" ht="15" hidden="false" customHeight="true" outlineLevel="0" collapsed="false">
      <c r="A51" s="101" t="s">
        <v>696</v>
      </c>
      <c r="B51" s="101" t="s">
        <v>697</v>
      </c>
      <c r="C51" s="101" t="s">
        <v>698</v>
      </c>
      <c r="D51" s="101" t="s">
        <v>699</v>
      </c>
      <c r="E51" s="101" t="s">
        <v>483</v>
      </c>
      <c r="F51" s="101" t="s">
        <v>492</v>
      </c>
      <c r="G51" s="101" t="s">
        <v>475</v>
      </c>
      <c r="H51" s="101" t="s">
        <v>484</v>
      </c>
      <c r="I51" s="101" t="s">
        <v>345</v>
      </c>
      <c r="J51" s="101" t="s">
        <v>111</v>
      </c>
      <c r="K51" s="101" t="s">
        <v>112</v>
      </c>
      <c r="L51" s="101" t="s">
        <v>639</v>
      </c>
      <c r="M51" s="101" t="n">
        <v>244</v>
      </c>
      <c r="N51" s="101" t="n">
        <v>5.2</v>
      </c>
      <c r="O51" s="101" t="n">
        <v>5.805</v>
      </c>
      <c r="P51" s="101" t="s">
        <v>113</v>
      </c>
      <c r="Q51" s="101" t="s">
        <v>124</v>
      </c>
      <c r="R51" s="101" t="s">
        <v>113</v>
      </c>
      <c r="S51" s="101" t="n">
        <v>2</v>
      </c>
      <c r="T51" s="101" t="s">
        <v>616</v>
      </c>
      <c r="U51" s="101" t="s">
        <v>124</v>
      </c>
      <c r="V51" s="101" t="n">
        <v>81.87</v>
      </c>
    </row>
    <row r="52" customFormat="false" ht="15" hidden="false" customHeight="true" outlineLevel="0" collapsed="false">
      <c r="A52" s="101" t="s">
        <v>700</v>
      </c>
      <c r="B52" s="101" t="s">
        <v>701</v>
      </c>
      <c r="C52" s="101" t="s">
        <v>702</v>
      </c>
      <c r="D52" s="101" t="s">
        <v>703</v>
      </c>
      <c r="E52" s="101" t="s">
        <v>539</v>
      </c>
      <c r="F52" s="101" t="s">
        <v>508</v>
      </c>
      <c r="G52" s="101" t="s">
        <v>475</v>
      </c>
      <c r="H52" s="101" t="s">
        <v>592</v>
      </c>
      <c r="I52" s="101" t="s">
        <v>593</v>
      </c>
      <c r="J52" s="101" t="s">
        <v>118</v>
      </c>
      <c r="K52" s="101" t="s">
        <v>120</v>
      </c>
      <c r="L52" s="101" t="s">
        <v>704</v>
      </c>
      <c r="M52" s="101" t="n">
        <v>17</v>
      </c>
      <c r="N52" s="101" t="n">
        <v>0.4</v>
      </c>
      <c r="O52" s="101" t="n">
        <v>29.9</v>
      </c>
      <c r="P52" s="101" t="s">
        <v>113</v>
      </c>
      <c r="Q52" s="101" t="s">
        <v>113</v>
      </c>
      <c r="R52" s="101" t="s">
        <v>124</v>
      </c>
      <c r="S52" s="101" t="n">
        <v>4</v>
      </c>
      <c r="T52" s="101" t="s">
        <v>479</v>
      </c>
      <c r="U52" s="101" t="s">
        <v>124</v>
      </c>
      <c r="V52" s="101" t="n">
        <v>517.19</v>
      </c>
    </row>
    <row r="53" customFormat="false" ht="15" hidden="false" customHeight="true" outlineLevel="0" collapsed="false">
      <c r="A53" s="101" t="s">
        <v>705</v>
      </c>
      <c r="B53" s="101" t="s">
        <v>706</v>
      </c>
      <c r="C53" s="101" t="s">
        <v>707</v>
      </c>
      <c r="D53" s="101" t="s">
        <v>708</v>
      </c>
      <c r="E53" s="101" t="s">
        <v>500</v>
      </c>
      <c r="F53" s="101" t="s">
        <v>508</v>
      </c>
      <c r="G53" s="101" t="s">
        <v>475</v>
      </c>
      <c r="H53" s="101" t="s">
        <v>484</v>
      </c>
      <c r="I53" s="101" t="s">
        <v>345</v>
      </c>
      <c r="J53" s="101" t="s">
        <v>123</v>
      </c>
      <c r="K53" s="101" t="s">
        <v>199</v>
      </c>
      <c r="L53" s="101" t="s">
        <v>709</v>
      </c>
      <c r="M53" s="101" t="n">
        <v>6980</v>
      </c>
      <c r="N53" s="101" t="n">
        <v>15.05</v>
      </c>
      <c r="O53" s="101" t="n">
        <v>34.02</v>
      </c>
      <c r="P53" s="101" t="s">
        <v>113</v>
      </c>
      <c r="Q53" s="101" t="s">
        <v>113</v>
      </c>
      <c r="R53" s="101" t="s">
        <v>124</v>
      </c>
      <c r="S53" s="101" t="n">
        <v>4</v>
      </c>
      <c r="T53" s="101" t="s">
        <v>479</v>
      </c>
      <c r="U53" s="101" t="s">
        <v>124</v>
      </c>
      <c r="V53" s="101" t="n">
        <v>255.15</v>
      </c>
    </row>
    <row r="54" customFormat="false" ht="15" hidden="false" customHeight="true" outlineLevel="0" collapsed="false">
      <c r="A54" s="101" t="s">
        <v>710</v>
      </c>
      <c r="B54" s="101" t="s">
        <v>711</v>
      </c>
      <c r="C54" s="101" t="s">
        <v>712</v>
      </c>
      <c r="D54" s="101" t="s">
        <v>570</v>
      </c>
      <c r="E54" s="101" t="s">
        <v>539</v>
      </c>
      <c r="F54" s="101" t="s">
        <v>474</v>
      </c>
      <c r="G54" s="101" t="s">
        <v>475</v>
      </c>
      <c r="H54" s="101" t="s">
        <v>476</v>
      </c>
      <c r="I54" s="101" t="s">
        <v>477</v>
      </c>
      <c r="J54" s="101" t="s">
        <v>111</v>
      </c>
      <c r="K54" s="101" t="s">
        <v>116</v>
      </c>
      <c r="L54" s="101" t="s">
        <v>485</v>
      </c>
      <c r="M54" s="101" t="n">
        <v>757</v>
      </c>
      <c r="N54" s="101" t="n">
        <v>3.79</v>
      </c>
      <c r="O54" s="101" t="n">
        <v>22.68</v>
      </c>
      <c r="P54" s="101" t="s">
        <v>113</v>
      </c>
      <c r="Q54" s="101" t="s">
        <v>113</v>
      </c>
      <c r="R54" s="101" t="s">
        <v>124</v>
      </c>
      <c r="S54" s="101" t="n">
        <v>5</v>
      </c>
      <c r="T54" s="101" t="s">
        <v>496</v>
      </c>
      <c r="U54" s="101" t="s">
        <v>124</v>
      </c>
      <c r="V54" s="101" t="n">
        <v>319.85</v>
      </c>
    </row>
    <row r="55" customFormat="false" ht="15" hidden="false" customHeight="true" outlineLevel="0" collapsed="false">
      <c r="A55" s="101" t="s">
        <v>713</v>
      </c>
      <c r="B55" s="101" t="s">
        <v>714</v>
      </c>
      <c r="C55" s="101" t="s">
        <v>715</v>
      </c>
      <c r="D55" s="101" t="s">
        <v>716</v>
      </c>
      <c r="E55" s="101" t="s">
        <v>507</v>
      </c>
      <c r="F55" s="101" t="s">
        <v>530</v>
      </c>
      <c r="G55" s="101" t="s">
        <v>516</v>
      </c>
      <c r="H55" s="101" t="s">
        <v>540</v>
      </c>
      <c r="I55" s="101" t="s">
        <v>477</v>
      </c>
      <c r="J55" s="101" t="s">
        <v>118</v>
      </c>
      <c r="K55" s="101" t="s">
        <v>112</v>
      </c>
      <c r="L55" s="101" t="s">
        <v>717</v>
      </c>
      <c r="M55" s="101" t="n">
        <v>104</v>
      </c>
      <c r="N55" s="101" t="n">
        <v>4.62</v>
      </c>
      <c r="O55" s="101" t="n">
        <v>20.7</v>
      </c>
      <c r="P55" s="101" t="s">
        <v>113</v>
      </c>
      <c r="Q55" s="101" t="s">
        <v>113</v>
      </c>
      <c r="R55" s="101" t="s">
        <v>124</v>
      </c>
      <c r="S55" s="101" t="s">
        <v>486</v>
      </c>
      <c r="T55" s="101" t="s">
        <v>496</v>
      </c>
      <c r="U55" s="101" t="s">
        <v>124</v>
      </c>
      <c r="V55" s="101" t="n">
        <v>358.05</v>
      </c>
    </row>
    <row r="56" customFormat="false" ht="15" hidden="false" customHeight="true" outlineLevel="0" collapsed="false">
      <c r="A56" s="101" t="s">
        <v>718</v>
      </c>
      <c r="B56" s="101" t="s">
        <v>719</v>
      </c>
      <c r="C56" s="101" t="s">
        <v>720</v>
      </c>
      <c r="D56" s="101" t="s">
        <v>721</v>
      </c>
      <c r="E56" s="101" t="s">
        <v>539</v>
      </c>
      <c r="F56" s="101" t="s">
        <v>545</v>
      </c>
      <c r="G56" s="101" t="s">
        <v>546</v>
      </c>
      <c r="H56" s="101" t="s">
        <v>673</v>
      </c>
      <c r="I56" s="101" t="s">
        <v>645</v>
      </c>
      <c r="J56" s="101" t="s">
        <v>118</v>
      </c>
      <c r="K56" s="101" t="s">
        <v>199</v>
      </c>
      <c r="L56" s="101" t="s">
        <v>722</v>
      </c>
      <c r="M56" s="101" t="n">
        <v>85</v>
      </c>
      <c r="N56" s="101" t="n">
        <v>2.28</v>
      </c>
      <c r="O56" s="101" t="n">
        <v>26.5</v>
      </c>
      <c r="P56" s="101" t="s">
        <v>113</v>
      </c>
      <c r="Q56" s="101" t="s">
        <v>113</v>
      </c>
      <c r="R56" s="101" t="s">
        <v>124</v>
      </c>
      <c r="S56" s="101" t="n">
        <v>3</v>
      </c>
      <c r="T56" s="101" t="s">
        <v>487</v>
      </c>
      <c r="U56" s="101" t="s">
        <v>124</v>
      </c>
      <c r="V56" s="101" t="n">
        <v>458.38</v>
      </c>
    </row>
    <row r="57" customFormat="false" ht="15" hidden="false" customHeight="true" outlineLevel="0" collapsed="false">
      <c r="A57" s="101" t="s">
        <v>723</v>
      </c>
      <c r="B57" s="101" t="s">
        <v>724</v>
      </c>
      <c r="C57" s="101" t="s">
        <v>725</v>
      </c>
      <c r="D57" s="101" t="s">
        <v>726</v>
      </c>
      <c r="E57" s="101" t="s">
        <v>491</v>
      </c>
      <c r="F57" s="101" t="s">
        <v>530</v>
      </c>
      <c r="G57" s="101" t="s">
        <v>516</v>
      </c>
      <c r="H57" s="101" t="s">
        <v>727</v>
      </c>
      <c r="I57" s="101" t="s">
        <v>645</v>
      </c>
      <c r="J57" s="101" t="s">
        <v>118</v>
      </c>
      <c r="K57" s="101" t="s">
        <v>120</v>
      </c>
      <c r="L57" s="101" t="s">
        <v>728</v>
      </c>
      <c r="M57" s="101" t="n">
        <v>100</v>
      </c>
      <c r="N57" s="101" t="n">
        <v>1.16</v>
      </c>
      <c r="O57" s="101" t="n">
        <v>17.5</v>
      </c>
      <c r="P57" s="101" t="s">
        <v>113</v>
      </c>
      <c r="Q57" s="101" t="s">
        <v>113</v>
      </c>
      <c r="R57" s="101" t="s">
        <v>124</v>
      </c>
      <c r="S57" s="101" t="n">
        <v>5</v>
      </c>
      <c r="T57" s="101" t="s">
        <v>496</v>
      </c>
      <c r="U57" s="101" t="s">
        <v>124</v>
      </c>
      <c r="V57" s="101" t="n">
        <v>302.7</v>
      </c>
    </row>
    <row r="58" customFormat="false" ht="15" hidden="false" customHeight="true" outlineLevel="0" collapsed="false">
      <c r="A58" s="101" t="s">
        <v>729</v>
      </c>
      <c r="B58" s="101" t="s">
        <v>730</v>
      </c>
      <c r="C58" s="101" t="s">
        <v>731</v>
      </c>
      <c r="D58" s="101" t="s">
        <v>732</v>
      </c>
      <c r="E58" s="101" t="s">
        <v>514</v>
      </c>
      <c r="F58" s="101" t="s">
        <v>492</v>
      </c>
      <c r="G58" s="101" t="s">
        <v>475</v>
      </c>
      <c r="H58" s="101" t="s">
        <v>540</v>
      </c>
      <c r="I58" s="101" t="s">
        <v>477</v>
      </c>
      <c r="J58" s="101" t="s">
        <v>118</v>
      </c>
      <c r="K58" s="101" t="s">
        <v>120</v>
      </c>
      <c r="L58" s="101" t="s">
        <v>733</v>
      </c>
      <c r="M58" s="101" t="n">
        <v>52</v>
      </c>
      <c r="N58" s="101" t="n">
        <v>10.64</v>
      </c>
      <c r="O58" s="101" t="n">
        <v>12.7</v>
      </c>
      <c r="P58" s="101" t="s">
        <v>113</v>
      </c>
      <c r="Q58" s="101" t="s">
        <v>124</v>
      </c>
      <c r="R58" s="101" t="s">
        <v>124</v>
      </c>
      <c r="S58" s="101" t="s">
        <v>486</v>
      </c>
      <c r="T58" s="101" t="s">
        <v>479</v>
      </c>
      <c r="U58" s="101" t="s">
        <v>124</v>
      </c>
      <c r="V58" s="101" t="n">
        <v>219.68</v>
      </c>
    </row>
    <row r="59" customFormat="false" ht="15" hidden="false" customHeight="true" outlineLevel="0" collapsed="false">
      <c r="A59" s="101" t="s">
        <v>734</v>
      </c>
      <c r="B59" s="101" t="s">
        <v>735</v>
      </c>
      <c r="C59" s="101" t="s">
        <v>736</v>
      </c>
      <c r="D59" s="101" t="s">
        <v>737</v>
      </c>
      <c r="E59" s="101" t="s">
        <v>491</v>
      </c>
      <c r="F59" s="101" t="s">
        <v>515</v>
      </c>
      <c r="G59" s="101" t="s">
        <v>516</v>
      </c>
      <c r="H59" s="101" t="s">
        <v>517</v>
      </c>
      <c r="I59" s="101" t="s">
        <v>345</v>
      </c>
      <c r="J59" s="101" t="s">
        <v>115</v>
      </c>
      <c r="K59" s="101" t="s">
        <v>120</v>
      </c>
      <c r="L59" s="101" t="s">
        <v>567</v>
      </c>
      <c r="M59" s="101" t="n">
        <v>96</v>
      </c>
      <c r="N59" s="101" t="n">
        <v>5.57</v>
      </c>
      <c r="O59" s="101" t="n">
        <v>8.3</v>
      </c>
      <c r="P59" s="101" t="s">
        <v>113</v>
      </c>
      <c r="Q59" s="101" t="s">
        <v>113</v>
      </c>
      <c r="R59" s="101" t="s">
        <v>124</v>
      </c>
      <c r="S59" s="101" t="n">
        <v>3</v>
      </c>
      <c r="T59" s="101" t="s">
        <v>487</v>
      </c>
      <c r="U59" s="101" t="s">
        <v>124</v>
      </c>
      <c r="V59" s="101" t="n">
        <v>126.3</v>
      </c>
    </row>
    <row r="60" customFormat="false" ht="15" hidden="false" customHeight="true" outlineLevel="0" collapsed="false">
      <c r="A60" s="101" t="s">
        <v>738</v>
      </c>
      <c r="B60" s="101" t="s">
        <v>627</v>
      </c>
      <c r="C60" s="101" t="s">
        <v>628</v>
      </c>
      <c r="D60" s="101" t="s">
        <v>739</v>
      </c>
      <c r="E60" s="101" t="s">
        <v>514</v>
      </c>
      <c r="F60" s="101" t="s">
        <v>740</v>
      </c>
      <c r="G60" s="101" t="s">
        <v>560</v>
      </c>
      <c r="H60" s="101" t="s">
        <v>484</v>
      </c>
      <c r="I60" s="101" t="s">
        <v>345</v>
      </c>
      <c r="J60" s="101" t="s">
        <v>118</v>
      </c>
      <c r="K60" s="101" t="s">
        <v>112</v>
      </c>
      <c r="L60" s="101" t="s">
        <v>741</v>
      </c>
      <c r="M60" s="101" t="n">
        <v>102</v>
      </c>
      <c r="N60" s="101" t="n">
        <v>5.38</v>
      </c>
      <c r="O60" s="101" t="n">
        <v>29.16</v>
      </c>
      <c r="P60" s="101" t="s">
        <v>113</v>
      </c>
      <c r="Q60" s="101" t="s">
        <v>113</v>
      </c>
      <c r="R60" s="101" t="s">
        <v>124</v>
      </c>
      <c r="S60" s="101" t="n">
        <v>4</v>
      </c>
      <c r="T60" s="101" t="s">
        <v>479</v>
      </c>
      <c r="U60" s="101" t="s">
        <v>124</v>
      </c>
      <c r="V60" s="101" t="n">
        <v>504.39</v>
      </c>
    </row>
    <row r="61" customFormat="false" ht="15" hidden="false" customHeight="true" outlineLevel="0" collapsed="false">
      <c r="A61" s="101" t="s">
        <v>742</v>
      </c>
      <c r="B61" s="101" t="s">
        <v>743</v>
      </c>
      <c r="C61" s="101" t="s">
        <v>744</v>
      </c>
      <c r="D61" s="101" t="s">
        <v>689</v>
      </c>
      <c r="E61" s="101" t="s">
        <v>500</v>
      </c>
      <c r="F61" s="101" t="s">
        <v>474</v>
      </c>
      <c r="G61" s="101" t="s">
        <v>475</v>
      </c>
      <c r="H61" s="101" t="s">
        <v>673</v>
      </c>
      <c r="I61" s="101" t="s">
        <v>645</v>
      </c>
      <c r="J61" s="101" t="s">
        <v>123</v>
      </c>
      <c r="K61" s="101" t="s">
        <v>112</v>
      </c>
      <c r="L61" s="101" t="s">
        <v>745</v>
      </c>
      <c r="M61" s="101" t="n">
        <v>19884</v>
      </c>
      <c r="N61" s="101" t="n">
        <v>0.57</v>
      </c>
      <c r="O61" s="101" t="n">
        <v>43.6</v>
      </c>
      <c r="P61" s="101" t="s">
        <v>124</v>
      </c>
      <c r="Q61" s="101" t="s">
        <v>113</v>
      </c>
      <c r="R61" s="101" t="s">
        <v>124</v>
      </c>
      <c r="S61" s="101" t="s">
        <v>486</v>
      </c>
      <c r="T61" s="101" t="s">
        <v>487</v>
      </c>
      <c r="U61" s="101" t="s">
        <v>124</v>
      </c>
      <c r="V61" s="101" t="n">
        <v>327</v>
      </c>
    </row>
    <row r="62" customFormat="false" ht="15" hidden="false" customHeight="true" outlineLevel="0" collapsed="false">
      <c r="A62" s="101" t="s">
        <v>746</v>
      </c>
      <c r="B62" s="101" t="s">
        <v>747</v>
      </c>
      <c r="C62" s="101" t="s">
        <v>748</v>
      </c>
      <c r="D62" s="101" t="s">
        <v>521</v>
      </c>
      <c r="E62" s="101" t="s">
        <v>473</v>
      </c>
      <c r="F62" s="101" t="s">
        <v>559</v>
      </c>
      <c r="G62" s="101" t="s">
        <v>560</v>
      </c>
      <c r="H62" s="101" t="s">
        <v>484</v>
      </c>
      <c r="I62" s="101" t="s">
        <v>345</v>
      </c>
      <c r="J62" s="101" t="s">
        <v>133</v>
      </c>
      <c r="K62" s="101"/>
      <c r="L62" s="101" t="s">
        <v>547</v>
      </c>
      <c r="M62" s="101" t="n">
        <v>15</v>
      </c>
      <c r="N62" s="101" t="n">
        <v>4.17</v>
      </c>
      <c r="O62" s="101" t="n">
        <v>3.24</v>
      </c>
      <c r="P62" s="101" t="s">
        <v>113</v>
      </c>
      <c r="Q62" s="101" t="s">
        <v>113</v>
      </c>
      <c r="R62" s="101" t="s">
        <v>124</v>
      </c>
      <c r="S62" s="101" t="s">
        <v>486</v>
      </c>
      <c r="T62" s="101" t="s">
        <v>479</v>
      </c>
      <c r="U62" s="101" t="s">
        <v>124</v>
      </c>
      <c r="V62" s="101" t="n">
        <v>15.55</v>
      </c>
    </row>
    <row r="63" customFormat="false" ht="15" hidden="false" customHeight="true" outlineLevel="0" collapsed="false">
      <c r="A63" s="101" t="s">
        <v>749</v>
      </c>
      <c r="B63" s="101" t="s">
        <v>750</v>
      </c>
      <c r="C63" s="101" t="s">
        <v>751</v>
      </c>
      <c r="D63" s="101" t="s">
        <v>752</v>
      </c>
      <c r="E63" s="101" t="s">
        <v>514</v>
      </c>
      <c r="F63" s="101" t="s">
        <v>501</v>
      </c>
      <c r="G63" s="101" t="s">
        <v>502</v>
      </c>
      <c r="H63" s="101" t="s">
        <v>727</v>
      </c>
      <c r="I63" s="101" t="s">
        <v>645</v>
      </c>
      <c r="J63" s="101" t="s">
        <v>111</v>
      </c>
      <c r="K63" s="101" t="s">
        <v>120</v>
      </c>
      <c r="L63" s="101" t="s">
        <v>728</v>
      </c>
      <c r="M63" s="101" t="n">
        <v>478</v>
      </c>
      <c r="N63" s="101" t="n">
        <v>1.72</v>
      </c>
      <c r="O63" s="101" t="n">
        <v>10.7</v>
      </c>
      <c r="P63" s="101" t="s">
        <v>113</v>
      </c>
      <c r="Q63" s="101" t="s">
        <v>113</v>
      </c>
      <c r="R63" s="101" t="s">
        <v>124</v>
      </c>
      <c r="S63" s="101"/>
      <c r="T63" s="101" t="s">
        <v>479</v>
      </c>
      <c r="U63" s="101" t="s">
        <v>124</v>
      </c>
      <c r="V63" s="101" t="n">
        <v>150.9</v>
      </c>
    </row>
    <row r="64" customFormat="false" ht="15" hidden="false" customHeight="true" outlineLevel="0" collapsed="false">
      <c r="A64" s="101" t="s">
        <v>753</v>
      </c>
      <c r="B64" s="101" t="s">
        <v>754</v>
      </c>
      <c r="C64" s="101" t="s">
        <v>755</v>
      </c>
      <c r="D64" s="101" t="s">
        <v>756</v>
      </c>
      <c r="E64" s="101" t="s">
        <v>473</v>
      </c>
      <c r="F64" s="101" t="s">
        <v>508</v>
      </c>
      <c r="G64" s="101" t="s">
        <v>475</v>
      </c>
      <c r="H64" s="101" t="s">
        <v>517</v>
      </c>
      <c r="I64" s="101" t="s">
        <v>345</v>
      </c>
      <c r="J64" s="101" t="s">
        <v>115</v>
      </c>
      <c r="K64" s="101" t="s">
        <v>112</v>
      </c>
      <c r="L64" s="101" t="s">
        <v>757</v>
      </c>
      <c r="M64" s="101" t="s">
        <v>486</v>
      </c>
      <c r="N64" s="101" t="n">
        <v>4.03</v>
      </c>
      <c r="O64" s="101" t="n">
        <v>11.9</v>
      </c>
      <c r="P64" s="101" t="s">
        <v>113</v>
      </c>
      <c r="Q64" s="101" t="s">
        <v>113</v>
      </c>
      <c r="R64" s="101" t="s">
        <v>124</v>
      </c>
      <c r="S64" s="101" t="n">
        <v>5</v>
      </c>
      <c r="T64" s="101" t="s">
        <v>496</v>
      </c>
      <c r="U64" s="101" t="s">
        <v>124</v>
      </c>
      <c r="V64" s="101" t="n">
        <v>181.09</v>
      </c>
    </row>
    <row r="65" customFormat="false" ht="15" hidden="false" customHeight="true" outlineLevel="0" collapsed="false">
      <c r="A65" s="101" t="s">
        <v>758</v>
      </c>
      <c r="B65" s="101" t="s">
        <v>759</v>
      </c>
      <c r="C65" s="101" t="s">
        <v>760</v>
      </c>
      <c r="D65" s="101" t="s">
        <v>761</v>
      </c>
      <c r="E65" s="101" t="s">
        <v>491</v>
      </c>
      <c r="F65" s="101" t="s">
        <v>566</v>
      </c>
      <c r="G65" s="101" t="s">
        <v>546</v>
      </c>
      <c r="H65" s="101" t="s">
        <v>644</v>
      </c>
      <c r="I65" s="101" t="s">
        <v>645</v>
      </c>
      <c r="J65" s="101" t="s">
        <v>118</v>
      </c>
      <c r="K65" s="101" t="s">
        <v>112</v>
      </c>
      <c r="L65" s="101" t="s">
        <v>762</v>
      </c>
      <c r="M65" s="101" t="n">
        <v>107</v>
      </c>
      <c r="N65" s="101" t="n">
        <v>10.79</v>
      </c>
      <c r="O65" s="101" t="n">
        <v>29.43</v>
      </c>
      <c r="P65" s="101" t="s">
        <v>113</v>
      </c>
      <c r="Q65" s="101" t="s">
        <v>113</v>
      </c>
      <c r="R65" s="101" t="s">
        <v>124</v>
      </c>
      <c r="S65" s="101" t="s">
        <v>486</v>
      </c>
      <c r="T65" s="101" t="s">
        <v>487</v>
      </c>
      <c r="U65" s="101" t="s">
        <v>124</v>
      </c>
      <c r="V65" s="101" t="n">
        <v>509.06</v>
      </c>
    </row>
    <row r="66" customFormat="false" ht="15" hidden="false" customHeight="true" outlineLevel="0" collapsed="false">
      <c r="A66" s="101" t="s">
        <v>763</v>
      </c>
      <c r="B66" s="101" t="s">
        <v>764</v>
      </c>
      <c r="C66" s="101" t="s">
        <v>765</v>
      </c>
      <c r="D66" s="102" t="n">
        <v>45891.8034722222</v>
      </c>
      <c r="E66" s="101" t="s">
        <v>514</v>
      </c>
      <c r="F66" s="101" t="s">
        <v>474</v>
      </c>
      <c r="G66" s="101" t="s">
        <v>475</v>
      </c>
      <c r="H66" s="101" t="s">
        <v>727</v>
      </c>
      <c r="I66" s="101" t="s">
        <v>645</v>
      </c>
      <c r="J66" s="101" t="s">
        <v>118</v>
      </c>
      <c r="K66" s="101" t="s">
        <v>120</v>
      </c>
      <c r="L66" s="101" t="s">
        <v>766</v>
      </c>
      <c r="M66" s="101" t="n">
        <v>105</v>
      </c>
      <c r="N66" s="101" t="n">
        <v>3.54</v>
      </c>
      <c r="O66" s="101" t="n">
        <v>17.1</v>
      </c>
      <c r="P66" s="101" t="s">
        <v>113</v>
      </c>
      <c r="Q66" s="101" t="s">
        <v>113</v>
      </c>
      <c r="R66" s="101" t="s">
        <v>124</v>
      </c>
      <c r="S66" s="101" t="n">
        <v>5</v>
      </c>
      <c r="T66" s="101" t="s">
        <v>496</v>
      </c>
      <c r="U66" s="101" t="s">
        <v>124</v>
      </c>
      <c r="V66" s="101" t="n">
        <v>295.78</v>
      </c>
    </row>
    <row r="67" customFormat="false" ht="15" hidden="false" customHeight="true" outlineLevel="0" collapsed="false">
      <c r="A67" s="101" t="s">
        <v>767</v>
      </c>
      <c r="B67" s="101" t="s">
        <v>768</v>
      </c>
      <c r="C67" s="101" t="s">
        <v>688</v>
      </c>
      <c r="D67" s="101" t="s">
        <v>769</v>
      </c>
      <c r="E67" s="101" t="s">
        <v>539</v>
      </c>
      <c r="F67" s="101" t="s">
        <v>501</v>
      </c>
      <c r="G67" s="101" t="s">
        <v>502</v>
      </c>
      <c r="H67" s="101" t="s">
        <v>592</v>
      </c>
      <c r="I67" s="101" t="s">
        <v>593</v>
      </c>
      <c r="J67" s="101" t="s">
        <v>111</v>
      </c>
      <c r="K67" s="101" t="s">
        <v>112</v>
      </c>
      <c r="L67" s="101" t="s">
        <v>695</v>
      </c>
      <c r="M67" s="101" t="n">
        <v>870</v>
      </c>
      <c r="N67" s="101" t="n">
        <v>0.63</v>
      </c>
      <c r="O67" s="101" t="n">
        <v>11.5</v>
      </c>
      <c r="P67" s="101" t="s">
        <v>113</v>
      </c>
      <c r="Q67" s="101" t="s">
        <v>113</v>
      </c>
      <c r="R67" s="101" t="s">
        <v>124</v>
      </c>
      <c r="S67" s="101" t="n">
        <v>5</v>
      </c>
      <c r="T67" s="101" t="s">
        <v>496</v>
      </c>
      <c r="U67" s="101" t="s">
        <v>124</v>
      </c>
      <c r="V67" s="101" t="n">
        <v>162.18</v>
      </c>
    </row>
    <row r="68" customFormat="false" ht="15" hidden="false" customHeight="true" outlineLevel="0" collapsed="false">
      <c r="A68" s="101" t="s">
        <v>770</v>
      </c>
      <c r="B68" s="101" t="s">
        <v>771</v>
      </c>
      <c r="C68" s="101" t="s">
        <v>772</v>
      </c>
      <c r="D68" s="101" t="s">
        <v>773</v>
      </c>
      <c r="E68" s="101" t="s">
        <v>539</v>
      </c>
      <c r="F68" s="101" t="s">
        <v>515</v>
      </c>
      <c r="G68" s="101" t="s">
        <v>516</v>
      </c>
      <c r="H68" s="101" t="s">
        <v>484</v>
      </c>
      <c r="I68" s="101" t="s">
        <v>345</v>
      </c>
      <c r="J68" s="101" t="s">
        <v>115</v>
      </c>
      <c r="K68" s="101" t="s">
        <v>112</v>
      </c>
      <c r="L68" s="101" t="s">
        <v>639</v>
      </c>
      <c r="M68" s="101" t="n">
        <v>102</v>
      </c>
      <c r="N68" s="101" t="n">
        <v>9.57</v>
      </c>
      <c r="O68" s="101" t="n">
        <v>5.94</v>
      </c>
      <c r="P68" s="101" t="s">
        <v>113</v>
      </c>
      <c r="Q68" s="101" t="s">
        <v>124</v>
      </c>
      <c r="R68" s="101" t="s">
        <v>113</v>
      </c>
      <c r="S68" s="101" t="n">
        <v>2</v>
      </c>
      <c r="T68" s="101" t="s">
        <v>616</v>
      </c>
      <c r="U68" s="101" t="s">
        <v>124</v>
      </c>
      <c r="V68" s="101" t="n">
        <v>90.39</v>
      </c>
    </row>
    <row r="69" customFormat="false" ht="15" hidden="false" customHeight="true" outlineLevel="0" collapsed="false">
      <c r="A69" s="101" t="s">
        <v>774</v>
      </c>
      <c r="B69" s="101" t="s">
        <v>775</v>
      </c>
      <c r="C69" s="101" t="s">
        <v>776</v>
      </c>
      <c r="D69" s="101" t="s">
        <v>777</v>
      </c>
      <c r="E69" s="101" t="s">
        <v>514</v>
      </c>
      <c r="F69" s="101" t="s">
        <v>566</v>
      </c>
      <c r="G69" s="101" t="s">
        <v>546</v>
      </c>
      <c r="H69" s="101" t="s">
        <v>476</v>
      </c>
      <c r="I69" s="101" t="s">
        <v>477</v>
      </c>
      <c r="J69" s="101" t="s">
        <v>118</v>
      </c>
      <c r="K69" s="101" t="s">
        <v>112</v>
      </c>
      <c r="L69" s="101" t="s">
        <v>778</v>
      </c>
      <c r="M69" s="101" t="n">
        <v>33</v>
      </c>
      <c r="N69" s="101" t="n">
        <v>3.15</v>
      </c>
      <c r="O69" s="101" t="n">
        <v>35.91</v>
      </c>
      <c r="P69" s="101" t="s">
        <v>113</v>
      </c>
      <c r="Q69" s="101" t="s">
        <v>113</v>
      </c>
      <c r="R69" s="101" t="s">
        <v>124</v>
      </c>
      <c r="S69" s="101" t="s">
        <v>486</v>
      </c>
      <c r="T69" s="101" t="s">
        <v>487</v>
      </c>
      <c r="U69" s="101" t="s">
        <v>124</v>
      </c>
      <c r="V69" s="101" t="n">
        <v>621.15</v>
      </c>
    </row>
    <row r="70" customFormat="false" ht="15" hidden="false" customHeight="true" outlineLevel="0" collapsed="false">
      <c r="A70" s="101" t="s">
        <v>779</v>
      </c>
      <c r="B70" s="101" t="s">
        <v>780</v>
      </c>
      <c r="C70" s="101" t="s">
        <v>781</v>
      </c>
      <c r="D70" s="101" t="s">
        <v>782</v>
      </c>
      <c r="E70" s="101" t="s">
        <v>491</v>
      </c>
      <c r="F70" s="101" t="s">
        <v>474</v>
      </c>
      <c r="G70" s="101" t="s">
        <v>475</v>
      </c>
      <c r="H70" s="101" t="s">
        <v>673</v>
      </c>
      <c r="I70" s="101" t="s">
        <v>645</v>
      </c>
      <c r="J70" s="101" t="s">
        <v>118</v>
      </c>
      <c r="K70" s="101" t="s">
        <v>112</v>
      </c>
      <c r="L70" s="101" t="s">
        <v>757</v>
      </c>
      <c r="M70" s="101" t="n">
        <v>52</v>
      </c>
      <c r="N70" s="101" t="n">
        <v>4.58</v>
      </c>
      <c r="O70" s="101" t="n">
        <v>24.2</v>
      </c>
      <c r="P70" s="101" t="s">
        <v>113</v>
      </c>
      <c r="Q70" s="101" t="s">
        <v>124</v>
      </c>
      <c r="R70" s="101" t="s">
        <v>113</v>
      </c>
      <c r="S70" s="101" t="n">
        <v>3</v>
      </c>
      <c r="T70" s="101" t="s">
        <v>487</v>
      </c>
      <c r="U70" s="101" t="s">
        <v>124</v>
      </c>
      <c r="V70" s="101" t="n">
        <v>418.59</v>
      </c>
    </row>
    <row r="71" customFormat="false" ht="15" hidden="false" customHeight="true" outlineLevel="0" collapsed="false">
      <c r="A71" s="101" t="s">
        <v>783</v>
      </c>
      <c r="B71" s="101" t="s">
        <v>784</v>
      </c>
      <c r="C71" s="101" t="s">
        <v>785</v>
      </c>
      <c r="D71" s="101" t="s">
        <v>786</v>
      </c>
      <c r="E71" s="101" t="s">
        <v>500</v>
      </c>
      <c r="F71" s="101" t="s">
        <v>474</v>
      </c>
      <c r="G71" s="101" t="s">
        <v>475</v>
      </c>
      <c r="H71" s="101" t="s">
        <v>484</v>
      </c>
      <c r="I71" s="101" t="s">
        <v>345</v>
      </c>
      <c r="J71" s="101" t="s">
        <v>115</v>
      </c>
      <c r="K71" s="101" t="s">
        <v>199</v>
      </c>
      <c r="L71" s="101" t="s">
        <v>526</v>
      </c>
      <c r="M71" s="101" t="n">
        <v>272</v>
      </c>
      <c r="N71" s="101" t="n">
        <v>4.06</v>
      </c>
      <c r="O71" s="101" t="n">
        <v>9.315</v>
      </c>
      <c r="P71" s="101" t="s">
        <v>113</v>
      </c>
      <c r="Q71" s="101" t="s">
        <v>113</v>
      </c>
      <c r="R71" s="101" t="s">
        <v>124</v>
      </c>
      <c r="S71" s="101" t="n">
        <v>3</v>
      </c>
      <c r="T71" s="101" t="s">
        <v>487</v>
      </c>
      <c r="U71" s="101" t="s">
        <v>124</v>
      </c>
      <c r="V71" s="101" t="n">
        <v>141.75</v>
      </c>
    </row>
    <row r="72" customFormat="false" ht="15" hidden="false" customHeight="true" outlineLevel="0" collapsed="false">
      <c r="A72" s="101" t="s">
        <v>787</v>
      </c>
      <c r="B72" s="101" t="s">
        <v>788</v>
      </c>
      <c r="C72" s="101" t="s">
        <v>471</v>
      </c>
      <c r="D72" s="101" t="s">
        <v>789</v>
      </c>
      <c r="E72" s="101" t="s">
        <v>483</v>
      </c>
      <c r="F72" s="101" t="s">
        <v>474</v>
      </c>
      <c r="G72" s="101" t="s">
        <v>475</v>
      </c>
      <c r="H72" s="101" t="s">
        <v>484</v>
      </c>
      <c r="I72" s="101" t="s">
        <v>345</v>
      </c>
      <c r="J72" s="101" t="s">
        <v>123</v>
      </c>
      <c r="K72" s="101" t="s">
        <v>194</v>
      </c>
      <c r="L72" s="101" t="s">
        <v>790</v>
      </c>
      <c r="M72" s="101" t="n">
        <v>10896</v>
      </c>
      <c r="N72" s="101" t="n">
        <v>9.19</v>
      </c>
      <c r="O72" s="101" t="n">
        <v>19.305</v>
      </c>
      <c r="P72" s="101" t="s">
        <v>113</v>
      </c>
      <c r="Q72" s="101" t="s">
        <v>124</v>
      </c>
      <c r="R72" s="101" t="s">
        <v>113</v>
      </c>
      <c r="S72" s="101" t="s">
        <v>486</v>
      </c>
      <c r="T72" s="101" t="s">
        <v>616</v>
      </c>
      <c r="U72" s="101" t="s">
        <v>124</v>
      </c>
      <c r="V72" s="101" t="n">
        <v>144.79</v>
      </c>
    </row>
    <row r="73" customFormat="false" ht="15" hidden="false" customHeight="true" outlineLevel="0" collapsed="false">
      <c r="A73" s="101" t="s">
        <v>791</v>
      </c>
      <c r="B73" s="101" t="s">
        <v>792</v>
      </c>
      <c r="C73" s="101" t="s">
        <v>793</v>
      </c>
      <c r="D73" s="101" t="s">
        <v>794</v>
      </c>
      <c r="E73" s="101" t="s">
        <v>507</v>
      </c>
      <c r="F73" s="101" t="s">
        <v>474</v>
      </c>
      <c r="G73" s="101" t="s">
        <v>475</v>
      </c>
      <c r="H73" s="101" t="s">
        <v>484</v>
      </c>
      <c r="I73" s="101" t="s">
        <v>345</v>
      </c>
      <c r="J73" s="101" t="s">
        <v>118</v>
      </c>
      <c r="K73" s="101" t="s">
        <v>199</v>
      </c>
      <c r="L73" s="101" t="s">
        <v>795</v>
      </c>
      <c r="M73" s="101" t="n">
        <v>72</v>
      </c>
      <c r="N73" s="101" t="n">
        <v>9.78</v>
      </c>
      <c r="O73" s="101" t="n">
        <v>28.08</v>
      </c>
      <c r="P73" s="101" t="s">
        <v>113</v>
      </c>
      <c r="Q73" s="101" t="s">
        <v>113</v>
      </c>
      <c r="R73" s="101" t="s">
        <v>124</v>
      </c>
      <c r="S73" s="101" t="n">
        <v>4</v>
      </c>
      <c r="T73" s="101" t="s">
        <v>479</v>
      </c>
      <c r="U73" s="101" t="s">
        <v>124</v>
      </c>
      <c r="V73" s="101" t="n">
        <v>485.71</v>
      </c>
    </row>
    <row r="74" customFormat="false" ht="15" hidden="false" customHeight="true" outlineLevel="0" collapsed="false">
      <c r="A74" s="101" t="s">
        <v>796</v>
      </c>
      <c r="B74" s="101" t="s">
        <v>797</v>
      </c>
      <c r="C74" s="101" t="s">
        <v>798</v>
      </c>
      <c r="D74" s="101" t="s">
        <v>799</v>
      </c>
      <c r="E74" s="101" t="s">
        <v>507</v>
      </c>
      <c r="F74" s="101" t="s">
        <v>474</v>
      </c>
      <c r="G74" s="101" t="s">
        <v>475</v>
      </c>
      <c r="H74" s="101" t="s">
        <v>592</v>
      </c>
      <c r="I74" s="101" t="s">
        <v>593</v>
      </c>
      <c r="J74" s="101" t="s">
        <v>123</v>
      </c>
      <c r="K74" s="101" t="s">
        <v>112</v>
      </c>
      <c r="L74" s="101" t="s">
        <v>685</v>
      </c>
      <c r="M74" s="101" t="n">
        <v>22840</v>
      </c>
      <c r="N74" s="101" t="n">
        <v>0.76</v>
      </c>
      <c r="O74" s="101" t="n">
        <v>13.3</v>
      </c>
      <c r="P74" s="101" t="s">
        <v>124</v>
      </c>
      <c r="Q74" s="101" t="s">
        <v>113</v>
      </c>
      <c r="R74" s="101" t="s">
        <v>124</v>
      </c>
      <c r="S74" s="101" t="s">
        <v>486</v>
      </c>
      <c r="T74" s="101" t="s">
        <v>479</v>
      </c>
      <c r="U74" s="101" t="s">
        <v>124</v>
      </c>
      <c r="V74" s="101" t="n">
        <v>99.75</v>
      </c>
    </row>
    <row r="75" customFormat="false" ht="15" hidden="false" customHeight="true" outlineLevel="0" collapsed="false">
      <c r="A75" s="101" t="s">
        <v>800</v>
      </c>
      <c r="B75" s="101" t="s">
        <v>801</v>
      </c>
      <c r="C75" s="101" t="s">
        <v>802</v>
      </c>
      <c r="D75" s="101" t="s">
        <v>803</v>
      </c>
      <c r="E75" s="101" t="s">
        <v>539</v>
      </c>
      <c r="F75" s="101" t="s">
        <v>492</v>
      </c>
      <c r="G75" s="101" t="s">
        <v>475</v>
      </c>
      <c r="H75" s="101" t="s">
        <v>484</v>
      </c>
      <c r="I75" s="101" t="s">
        <v>345</v>
      </c>
      <c r="J75" s="101" t="s">
        <v>123</v>
      </c>
      <c r="K75" s="101" t="s">
        <v>116</v>
      </c>
      <c r="L75" s="101" t="s">
        <v>582</v>
      </c>
      <c r="M75" s="101" t="n">
        <v>5200</v>
      </c>
      <c r="N75" s="101" t="n">
        <v>19.79</v>
      </c>
      <c r="O75" s="101" t="n">
        <v>50.355</v>
      </c>
      <c r="P75" s="101" t="s">
        <v>113</v>
      </c>
      <c r="Q75" s="101" t="s">
        <v>113</v>
      </c>
      <c r="R75" s="101" t="s">
        <v>124</v>
      </c>
      <c r="S75" s="101" t="n">
        <v>4</v>
      </c>
      <c r="T75" s="101" t="s">
        <v>479</v>
      </c>
      <c r="U75" s="101" t="s">
        <v>124</v>
      </c>
      <c r="V75" s="101" t="n">
        <v>377.66</v>
      </c>
    </row>
    <row r="76" customFormat="false" ht="15" hidden="false" customHeight="true" outlineLevel="0" collapsed="false">
      <c r="A76" s="101" t="s">
        <v>804</v>
      </c>
      <c r="B76" s="101" t="s">
        <v>805</v>
      </c>
      <c r="C76" s="101" t="s">
        <v>806</v>
      </c>
      <c r="D76" s="101" t="s">
        <v>807</v>
      </c>
      <c r="E76" s="101" t="s">
        <v>514</v>
      </c>
      <c r="F76" s="101" t="s">
        <v>530</v>
      </c>
      <c r="G76" s="101" t="s">
        <v>516</v>
      </c>
      <c r="H76" s="101" t="s">
        <v>673</v>
      </c>
      <c r="I76" s="101" t="s">
        <v>645</v>
      </c>
      <c r="J76" s="101" t="s">
        <v>115</v>
      </c>
      <c r="K76" s="101" t="s">
        <v>116</v>
      </c>
      <c r="L76" s="101" t="s">
        <v>808</v>
      </c>
      <c r="M76" s="101" t="n">
        <v>167</v>
      </c>
      <c r="N76" s="101" t="n">
        <v>0.69</v>
      </c>
      <c r="O76" s="101" t="n">
        <v>18.5</v>
      </c>
      <c r="P76" s="101" t="s">
        <v>113</v>
      </c>
      <c r="Q76" s="101" t="s">
        <v>113</v>
      </c>
      <c r="R76" s="101" t="s">
        <v>124</v>
      </c>
      <c r="S76" s="101" t="n">
        <v>4</v>
      </c>
      <c r="T76" s="101" t="s">
        <v>479</v>
      </c>
      <c r="U76" s="101" t="s">
        <v>124</v>
      </c>
      <c r="V76" s="101" t="n">
        <v>281.52</v>
      </c>
    </row>
    <row r="77" customFormat="false" ht="15" hidden="false" customHeight="true" outlineLevel="0" collapsed="false">
      <c r="A77" s="101" t="s">
        <v>809</v>
      </c>
      <c r="B77" s="101" t="s">
        <v>810</v>
      </c>
      <c r="C77" s="101" t="s">
        <v>811</v>
      </c>
      <c r="D77" s="101" t="s">
        <v>581</v>
      </c>
      <c r="E77" s="101" t="s">
        <v>514</v>
      </c>
      <c r="F77" s="101" t="s">
        <v>559</v>
      </c>
      <c r="G77" s="101" t="s">
        <v>560</v>
      </c>
      <c r="H77" s="101" t="s">
        <v>644</v>
      </c>
      <c r="I77" s="101" t="s">
        <v>645</v>
      </c>
      <c r="J77" s="101" t="s">
        <v>115</v>
      </c>
      <c r="K77" s="101" t="s">
        <v>120</v>
      </c>
      <c r="L77" s="101" t="s">
        <v>812</v>
      </c>
      <c r="M77" s="101" t="n">
        <v>66</v>
      </c>
      <c r="N77" s="101" t="n">
        <v>1.42</v>
      </c>
      <c r="O77" s="101" t="n">
        <v>15.12</v>
      </c>
      <c r="P77" s="101" t="s">
        <v>113</v>
      </c>
      <c r="Q77" s="101" t="s">
        <v>124</v>
      </c>
      <c r="R77" s="101" t="s">
        <v>124</v>
      </c>
      <c r="S77" s="101" t="n">
        <v>4</v>
      </c>
      <c r="T77" s="101" t="s">
        <v>479</v>
      </c>
      <c r="U77" s="101" t="s">
        <v>124</v>
      </c>
      <c r="V77" s="101" t="n">
        <v>230.09</v>
      </c>
    </row>
    <row r="78" customFormat="false" ht="15" hidden="false" customHeight="true" outlineLevel="0" collapsed="false">
      <c r="A78" s="101" t="s">
        <v>813</v>
      </c>
      <c r="B78" s="101" t="s">
        <v>814</v>
      </c>
      <c r="C78" s="101" t="s">
        <v>815</v>
      </c>
      <c r="D78" s="101" t="s">
        <v>816</v>
      </c>
      <c r="E78" s="101" t="s">
        <v>491</v>
      </c>
      <c r="F78" s="101" t="s">
        <v>474</v>
      </c>
      <c r="G78" s="101" t="s">
        <v>475</v>
      </c>
      <c r="H78" s="101" t="s">
        <v>540</v>
      </c>
      <c r="I78" s="101" t="s">
        <v>477</v>
      </c>
      <c r="J78" s="101" t="s">
        <v>115</v>
      </c>
      <c r="K78" s="101" t="s">
        <v>194</v>
      </c>
      <c r="L78" s="101" t="s">
        <v>555</v>
      </c>
      <c r="M78" s="101" t="n">
        <v>81</v>
      </c>
      <c r="N78" s="101" t="n">
        <v>31.58</v>
      </c>
      <c r="O78" s="101" t="n">
        <v>7.3</v>
      </c>
      <c r="P78" s="101" t="s">
        <v>113</v>
      </c>
      <c r="Q78" s="101" t="s">
        <v>124</v>
      </c>
      <c r="R78" s="101" t="s">
        <v>124</v>
      </c>
      <c r="S78" s="101" t="n">
        <v>4</v>
      </c>
      <c r="T78" s="101" t="s">
        <v>479</v>
      </c>
      <c r="U78" s="101" t="s">
        <v>124</v>
      </c>
      <c r="V78" s="101" t="n">
        <v>111.09</v>
      </c>
    </row>
    <row r="79" customFormat="false" ht="15" hidden="false" customHeight="true" outlineLevel="0" collapsed="false">
      <c r="A79" s="101" t="s">
        <v>817</v>
      </c>
      <c r="B79" s="101" t="s">
        <v>818</v>
      </c>
      <c r="C79" s="101" t="s">
        <v>819</v>
      </c>
      <c r="D79" s="101" t="s">
        <v>820</v>
      </c>
      <c r="E79" s="101" t="s">
        <v>483</v>
      </c>
      <c r="F79" s="101" t="s">
        <v>474</v>
      </c>
      <c r="G79" s="101" t="s">
        <v>475</v>
      </c>
      <c r="H79" s="101" t="s">
        <v>493</v>
      </c>
      <c r="I79" s="101" t="s">
        <v>494</v>
      </c>
      <c r="J79" s="101" t="s">
        <v>123</v>
      </c>
      <c r="K79" s="101" t="s">
        <v>120</v>
      </c>
      <c r="L79" s="101" t="s">
        <v>821</v>
      </c>
      <c r="M79" s="101" t="n">
        <v>22812</v>
      </c>
      <c r="N79" s="101" t="n">
        <v>2.08</v>
      </c>
      <c r="O79" s="101" t="n">
        <v>11.56</v>
      </c>
      <c r="P79" s="101" t="s">
        <v>124</v>
      </c>
      <c r="Q79" s="101" t="s">
        <v>113</v>
      </c>
      <c r="R79" s="101" t="s">
        <v>124</v>
      </c>
      <c r="S79" s="101"/>
      <c r="T79" s="101" t="s">
        <v>479</v>
      </c>
      <c r="U79" s="101" t="s">
        <v>124</v>
      </c>
      <c r="V79" s="101" t="n">
        <v>86.7</v>
      </c>
    </row>
    <row r="80" customFormat="false" ht="15" hidden="false" customHeight="true" outlineLevel="0" collapsed="false">
      <c r="A80" s="101" t="s">
        <v>822</v>
      </c>
      <c r="B80" s="101" t="s">
        <v>823</v>
      </c>
      <c r="C80" s="101" t="s">
        <v>824</v>
      </c>
      <c r="D80" s="101" t="s">
        <v>529</v>
      </c>
      <c r="E80" s="101" t="s">
        <v>514</v>
      </c>
      <c r="F80" s="101" t="s">
        <v>559</v>
      </c>
      <c r="G80" s="101" t="s">
        <v>560</v>
      </c>
      <c r="H80" s="101" t="s">
        <v>509</v>
      </c>
      <c r="I80" s="101" t="s">
        <v>345</v>
      </c>
      <c r="J80" s="101" t="s">
        <v>115</v>
      </c>
      <c r="K80" s="101" t="s">
        <v>199</v>
      </c>
      <c r="L80" s="101" t="s">
        <v>709</v>
      </c>
      <c r="M80" s="101" t="n">
        <v>271</v>
      </c>
      <c r="N80" s="101" t="n">
        <v>2.03</v>
      </c>
      <c r="O80" s="101" t="n">
        <v>11.4</v>
      </c>
      <c r="P80" s="101" t="s">
        <v>113</v>
      </c>
      <c r="Q80" s="101" t="s">
        <v>124</v>
      </c>
      <c r="R80" s="101" t="s">
        <v>124</v>
      </c>
      <c r="S80" s="101" t="n">
        <v>3</v>
      </c>
      <c r="T80" s="101" t="s">
        <v>487</v>
      </c>
      <c r="U80" s="101" t="s">
        <v>124</v>
      </c>
      <c r="V80" s="101" t="n">
        <v>173.48</v>
      </c>
    </row>
    <row r="81" customFormat="false" ht="15" hidden="false" customHeight="true" outlineLevel="0" collapsed="false">
      <c r="A81" s="101" t="s">
        <v>825</v>
      </c>
      <c r="B81" s="101" t="s">
        <v>826</v>
      </c>
      <c r="C81" s="101" t="s">
        <v>827</v>
      </c>
      <c r="D81" s="101" t="s">
        <v>828</v>
      </c>
      <c r="E81" s="101" t="s">
        <v>539</v>
      </c>
      <c r="F81" s="101" t="s">
        <v>492</v>
      </c>
      <c r="G81" s="101" t="s">
        <v>475</v>
      </c>
      <c r="H81" s="101" t="s">
        <v>561</v>
      </c>
      <c r="I81" s="101" t="s">
        <v>345</v>
      </c>
      <c r="J81" s="101" t="s">
        <v>118</v>
      </c>
      <c r="K81" s="101" t="s">
        <v>112</v>
      </c>
      <c r="L81" s="101" t="s">
        <v>829</v>
      </c>
      <c r="M81" s="101" t="n">
        <v>102</v>
      </c>
      <c r="N81" s="101" t="n">
        <v>1.77</v>
      </c>
      <c r="O81" s="101" t="n">
        <v>22.5</v>
      </c>
      <c r="P81" s="101" t="s">
        <v>113</v>
      </c>
      <c r="Q81" s="101" t="s">
        <v>113</v>
      </c>
      <c r="R81" s="101" t="s">
        <v>124</v>
      </c>
      <c r="S81" s="101" t="n">
        <v>4</v>
      </c>
      <c r="T81" s="101" t="s">
        <v>479</v>
      </c>
      <c r="U81" s="101" t="s">
        <v>124</v>
      </c>
      <c r="V81" s="101" t="n">
        <v>389.19</v>
      </c>
    </row>
    <row r="82" customFormat="false" ht="15" hidden="false" customHeight="true" outlineLevel="0" collapsed="false">
      <c r="A82" s="101" t="s">
        <v>830</v>
      </c>
      <c r="B82" s="101" t="s">
        <v>831</v>
      </c>
      <c r="C82" s="101" t="s">
        <v>832</v>
      </c>
      <c r="D82" s="101" t="s">
        <v>833</v>
      </c>
      <c r="E82" s="101" t="s">
        <v>539</v>
      </c>
      <c r="F82" s="101" t="s">
        <v>566</v>
      </c>
      <c r="G82" s="101" t="s">
        <v>546</v>
      </c>
      <c r="H82" s="101" t="s">
        <v>592</v>
      </c>
      <c r="I82" s="101" t="s">
        <v>593</v>
      </c>
      <c r="J82" s="101" t="s">
        <v>115</v>
      </c>
      <c r="K82" s="101" t="s">
        <v>120</v>
      </c>
      <c r="L82" s="101" t="s">
        <v>518</v>
      </c>
      <c r="M82" s="101" t="n">
        <v>133</v>
      </c>
      <c r="N82" s="101" t="n">
        <v>1.85</v>
      </c>
      <c r="O82" s="101" t="n">
        <v>9.8</v>
      </c>
      <c r="P82" s="101" t="s">
        <v>113</v>
      </c>
      <c r="Q82" s="101" t="s">
        <v>113</v>
      </c>
      <c r="R82" s="101" t="s">
        <v>124</v>
      </c>
      <c r="S82" s="101" t="n">
        <v>5</v>
      </c>
      <c r="T82" s="101" t="s">
        <v>496</v>
      </c>
      <c r="U82" s="101" t="s">
        <v>124</v>
      </c>
      <c r="V82" s="101" t="n">
        <v>149.13</v>
      </c>
    </row>
    <row r="83" customFormat="false" ht="15" hidden="false" customHeight="true" outlineLevel="0" collapsed="false">
      <c r="A83" s="101" t="s">
        <v>834</v>
      </c>
      <c r="B83" s="101" t="s">
        <v>835</v>
      </c>
      <c r="C83" s="101" t="s">
        <v>836</v>
      </c>
      <c r="D83" s="101" t="s">
        <v>499</v>
      </c>
      <c r="E83" s="101" t="s">
        <v>500</v>
      </c>
      <c r="F83" s="101" t="s">
        <v>508</v>
      </c>
      <c r="G83" s="101" t="s">
        <v>475</v>
      </c>
      <c r="H83" s="101" t="s">
        <v>517</v>
      </c>
      <c r="I83" s="101" t="s">
        <v>345</v>
      </c>
      <c r="J83" s="101" t="s">
        <v>115</v>
      </c>
      <c r="K83" s="101" t="s">
        <v>199</v>
      </c>
      <c r="L83" s="101" t="s">
        <v>837</v>
      </c>
      <c r="M83" s="101" t="n">
        <v>90</v>
      </c>
      <c r="N83" s="101" t="n">
        <v>4.3</v>
      </c>
      <c r="O83" s="101" t="n">
        <v>17.8</v>
      </c>
      <c r="P83" s="101" t="s">
        <v>113</v>
      </c>
      <c r="Q83" s="101" t="s">
        <v>113</v>
      </c>
      <c r="R83" s="101" t="s">
        <v>124</v>
      </c>
      <c r="S83" s="101" t="n">
        <v>4</v>
      </c>
      <c r="T83" s="101" t="s">
        <v>479</v>
      </c>
      <c r="U83" s="101" t="s">
        <v>124</v>
      </c>
      <c r="V83" s="101" t="n">
        <v>270.87</v>
      </c>
    </row>
    <row r="84" customFormat="false" ht="15" hidden="false" customHeight="true" outlineLevel="0" collapsed="false">
      <c r="A84" s="101" t="s">
        <v>838</v>
      </c>
      <c r="B84" s="101" t="s">
        <v>839</v>
      </c>
      <c r="C84" s="101" t="s">
        <v>840</v>
      </c>
      <c r="D84" s="101" t="s">
        <v>841</v>
      </c>
      <c r="E84" s="101" t="s">
        <v>473</v>
      </c>
      <c r="F84" s="101" t="s">
        <v>545</v>
      </c>
      <c r="G84" s="101" t="s">
        <v>546</v>
      </c>
      <c r="H84" s="101" t="s">
        <v>509</v>
      </c>
      <c r="I84" s="101" t="s">
        <v>345</v>
      </c>
      <c r="J84" s="101" t="s">
        <v>118</v>
      </c>
      <c r="K84" s="101" t="s">
        <v>116</v>
      </c>
      <c r="L84" s="101" t="s">
        <v>842</v>
      </c>
      <c r="M84" s="101" t="n">
        <v>46</v>
      </c>
      <c r="N84" s="101" t="n">
        <v>21.82</v>
      </c>
      <c r="O84" s="101" t="n">
        <v>19.7</v>
      </c>
      <c r="P84" s="101" t="s">
        <v>113</v>
      </c>
      <c r="Q84" s="101" t="s">
        <v>113</v>
      </c>
      <c r="R84" s="101" t="s">
        <v>124</v>
      </c>
      <c r="S84" s="101" t="s">
        <v>486</v>
      </c>
      <c r="T84" s="101" t="s">
        <v>496</v>
      </c>
      <c r="U84" s="101" t="s">
        <v>124</v>
      </c>
      <c r="V84" s="101" t="n">
        <v>340.76</v>
      </c>
    </row>
    <row r="85" customFormat="false" ht="15" hidden="false" customHeight="true" outlineLevel="0" collapsed="false">
      <c r="A85" s="101" t="s">
        <v>843</v>
      </c>
      <c r="B85" s="101" t="s">
        <v>844</v>
      </c>
      <c r="C85" s="101" t="s">
        <v>845</v>
      </c>
      <c r="D85" s="102" t="n">
        <v>45919.5680555556</v>
      </c>
      <c r="E85" s="101" t="s">
        <v>514</v>
      </c>
      <c r="F85" s="101" t="s">
        <v>508</v>
      </c>
      <c r="G85" s="101" t="s">
        <v>475</v>
      </c>
      <c r="H85" s="101" t="s">
        <v>561</v>
      </c>
      <c r="I85" s="101" t="s">
        <v>345</v>
      </c>
      <c r="J85" s="101" t="s">
        <v>115</v>
      </c>
      <c r="K85" s="101" t="s">
        <v>199</v>
      </c>
      <c r="L85" s="101" t="s">
        <v>846</v>
      </c>
      <c r="M85" s="101" t="n">
        <v>54</v>
      </c>
      <c r="N85" s="101" t="n">
        <v>1.52</v>
      </c>
      <c r="O85" s="101" t="n">
        <v>7.8</v>
      </c>
      <c r="P85" s="101" t="s">
        <v>113</v>
      </c>
      <c r="Q85" s="101" t="s">
        <v>113</v>
      </c>
      <c r="R85" s="101" t="s">
        <v>124</v>
      </c>
      <c r="S85" s="101" t="n">
        <v>4</v>
      </c>
      <c r="T85" s="101" t="s">
        <v>479</v>
      </c>
      <c r="U85" s="101" t="s">
        <v>124</v>
      </c>
      <c r="V85" s="101" t="n">
        <v>118.7</v>
      </c>
    </row>
    <row r="86" customFormat="false" ht="15" hidden="false" customHeight="true" outlineLevel="0" collapsed="false">
      <c r="A86" s="101" t="s">
        <v>847</v>
      </c>
      <c r="B86" s="101" t="s">
        <v>848</v>
      </c>
      <c r="C86" s="101" t="s">
        <v>849</v>
      </c>
      <c r="D86" s="101" t="s">
        <v>850</v>
      </c>
      <c r="E86" s="101" t="s">
        <v>507</v>
      </c>
      <c r="F86" s="101" t="s">
        <v>545</v>
      </c>
      <c r="G86" s="101" t="s">
        <v>546</v>
      </c>
      <c r="H86" s="101" t="s">
        <v>476</v>
      </c>
      <c r="I86" s="101" t="s">
        <v>477</v>
      </c>
      <c r="J86" s="101" t="s">
        <v>123</v>
      </c>
      <c r="K86" s="101" t="s">
        <v>120</v>
      </c>
      <c r="L86" s="101" t="s">
        <v>851</v>
      </c>
      <c r="M86" s="101" t="n">
        <v>10697</v>
      </c>
      <c r="N86" s="101" t="n">
        <v>24.42</v>
      </c>
      <c r="O86" s="101" t="n">
        <v>16.335</v>
      </c>
      <c r="P86" s="101" t="s">
        <v>113</v>
      </c>
      <c r="Q86" s="101" t="s">
        <v>113</v>
      </c>
      <c r="R86" s="101" t="s">
        <v>124</v>
      </c>
      <c r="S86" s="101" t="n">
        <v>4</v>
      </c>
      <c r="T86" s="101" t="s">
        <v>479</v>
      </c>
      <c r="U86" s="101" t="s">
        <v>124</v>
      </c>
      <c r="V86" s="101" t="n">
        <v>122.51</v>
      </c>
    </row>
    <row r="87" customFormat="false" ht="15" hidden="false" customHeight="true" outlineLevel="0" collapsed="false">
      <c r="A87" s="101" t="s">
        <v>852</v>
      </c>
      <c r="B87" s="101" t="s">
        <v>853</v>
      </c>
      <c r="C87" s="101" t="s">
        <v>854</v>
      </c>
      <c r="D87" s="101" t="s">
        <v>855</v>
      </c>
      <c r="E87" s="101" t="s">
        <v>507</v>
      </c>
      <c r="F87" s="101" t="s">
        <v>508</v>
      </c>
      <c r="G87" s="101" t="s">
        <v>475</v>
      </c>
      <c r="H87" s="101" t="s">
        <v>484</v>
      </c>
      <c r="I87" s="101" t="s">
        <v>345</v>
      </c>
      <c r="J87" s="101" t="s">
        <v>115</v>
      </c>
      <c r="K87" s="101" t="s">
        <v>199</v>
      </c>
      <c r="L87" s="101" t="s">
        <v>615</v>
      </c>
      <c r="M87" s="101" t="n">
        <v>296</v>
      </c>
      <c r="N87" s="101" t="n">
        <v>26.05</v>
      </c>
      <c r="O87" s="101" t="n">
        <v>8.91</v>
      </c>
      <c r="P87" s="101" t="s">
        <v>113</v>
      </c>
      <c r="Q87" s="101" t="s">
        <v>113</v>
      </c>
      <c r="R87" s="101" t="s">
        <v>124</v>
      </c>
      <c r="S87" s="101"/>
      <c r="T87" s="101" t="s">
        <v>487</v>
      </c>
      <c r="U87" s="101" t="s">
        <v>124</v>
      </c>
      <c r="V87" s="101" t="n">
        <v>135.59</v>
      </c>
    </row>
    <row r="88" customFormat="false" ht="15" hidden="false" customHeight="true" outlineLevel="0" collapsed="false">
      <c r="A88" s="101" t="s">
        <v>856</v>
      </c>
      <c r="B88" s="101" t="s">
        <v>857</v>
      </c>
      <c r="C88" s="101" t="s">
        <v>858</v>
      </c>
      <c r="D88" s="101" t="s">
        <v>859</v>
      </c>
      <c r="E88" s="101" t="s">
        <v>483</v>
      </c>
      <c r="F88" s="101" t="s">
        <v>566</v>
      </c>
      <c r="G88" s="101" t="s">
        <v>546</v>
      </c>
      <c r="H88" s="101" t="s">
        <v>484</v>
      </c>
      <c r="I88" s="101" t="s">
        <v>345</v>
      </c>
      <c r="J88" s="101" t="s">
        <v>115</v>
      </c>
      <c r="K88" s="101" t="s">
        <v>112</v>
      </c>
      <c r="L88" s="101" t="s">
        <v>745</v>
      </c>
      <c r="M88" s="101" t="n">
        <v>192</v>
      </c>
      <c r="N88" s="101" t="n">
        <v>6.74</v>
      </c>
      <c r="O88" s="101" t="n">
        <v>6.885</v>
      </c>
      <c r="P88" s="101" t="s">
        <v>113</v>
      </c>
      <c r="Q88" s="101" t="s">
        <v>113</v>
      </c>
      <c r="R88" s="101" t="s">
        <v>124</v>
      </c>
      <c r="S88" s="101" t="n">
        <v>3</v>
      </c>
      <c r="T88" s="101" t="s">
        <v>487</v>
      </c>
      <c r="U88" s="101" t="s">
        <v>124</v>
      </c>
      <c r="V88" s="101" t="n">
        <v>104.77</v>
      </c>
    </row>
    <row r="89" customFormat="false" ht="15" hidden="false" customHeight="true" outlineLevel="0" collapsed="false">
      <c r="A89" s="101" t="s">
        <v>860</v>
      </c>
      <c r="B89" s="101" t="s">
        <v>861</v>
      </c>
      <c r="C89" s="101" t="s">
        <v>815</v>
      </c>
      <c r="D89" s="101" t="s">
        <v>862</v>
      </c>
      <c r="E89" s="101" t="s">
        <v>491</v>
      </c>
      <c r="F89" s="101" t="s">
        <v>530</v>
      </c>
      <c r="G89" s="101" t="s">
        <v>516</v>
      </c>
      <c r="H89" s="101" t="s">
        <v>476</v>
      </c>
      <c r="I89" s="101" t="s">
        <v>477</v>
      </c>
      <c r="J89" s="101" t="s">
        <v>118</v>
      </c>
      <c r="K89" s="101" t="s">
        <v>112</v>
      </c>
      <c r="L89" s="101" t="s">
        <v>685</v>
      </c>
      <c r="M89" s="101" t="n">
        <v>72</v>
      </c>
      <c r="N89" s="101" t="n">
        <v>23.49</v>
      </c>
      <c r="O89" s="101" t="n">
        <v>19.17</v>
      </c>
      <c r="P89" s="101" t="s">
        <v>113</v>
      </c>
      <c r="Q89" s="101" t="s">
        <v>113</v>
      </c>
      <c r="R89" s="101" t="s">
        <v>124</v>
      </c>
      <c r="S89" s="101" t="n">
        <v>5</v>
      </c>
      <c r="T89" s="101" t="s">
        <v>496</v>
      </c>
      <c r="U89" s="101" t="s">
        <v>124</v>
      </c>
      <c r="V89" s="101" t="n">
        <v>331.59</v>
      </c>
    </row>
    <row r="90" customFormat="false" ht="15" hidden="false" customHeight="true" outlineLevel="0" collapsed="false">
      <c r="A90" s="101" t="s">
        <v>863</v>
      </c>
      <c r="B90" s="101" t="s">
        <v>864</v>
      </c>
      <c r="C90" s="101" t="s">
        <v>865</v>
      </c>
      <c r="D90" s="101" t="s">
        <v>866</v>
      </c>
      <c r="E90" s="101" t="s">
        <v>500</v>
      </c>
      <c r="F90" s="101" t="s">
        <v>515</v>
      </c>
      <c r="G90" s="101" t="s">
        <v>516</v>
      </c>
      <c r="H90" s="101" t="s">
        <v>673</v>
      </c>
      <c r="I90" s="101" t="s">
        <v>645</v>
      </c>
      <c r="J90" s="101" t="s">
        <v>133</v>
      </c>
      <c r="K90" s="101"/>
      <c r="L90" s="101" t="s">
        <v>547</v>
      </c>
      <c r="M90" s="101" t="n">
        <v>25</v>
      </c>
      <c r="N90" s="101" t="n">
        <v>2.66</v>
      </c>
      <c r="O90" s="101" t="n">
        <v>4.2</v>
      </c>
      <c r="P90" s="101" t="s">
        <v>113</v>
      </c>
      <c r="Q90" s="101" t="s">
        <v>113</v>
      </c>
      <c r="R90" s="101" t="s">
        <v>124</v>
      </c>
      <c r="S90" s="101" t="n">
        <v>4</v>
      </c>
      <c r="T90" s="101" t="s">
        <v>479</v>
      </c>
      <c r="U90" s="101" t="s">
        <v>124</v>
      </c>
      <c r="V90" s="101" t="n">
        <v>20.16</v>
      </c>
    </row>
    <row r="91" customFormat="false" ht="15" hidden="false" customHeight="true" outlineLevel="0" collapsed="false">
      <c r="A91" s="101" t="s">
        <v>867</v>
      </c>
      <c r="B91" s="101" t="s">
        <v>868</v>
      </c>
      <c r="C91" s="101" t="s">
        <v>869</v>
      </c>
      <c r="D91" s="101" t="s">
        <v>870</v>
      </c>
      <c r="E91" s="101" t="s">
        <v>507</v>
      </c>
      <c r="F91" s="101" t="s">
        <v>474</v>
      </c>
      <c r="G91" s="101" t="s">
        <v>475</v>
      </c>
      <c r="H91" s="101" t="s">
        <v>517</v>
      </c>
      <c r="I91" s="101" t="s">
        <v>345</v>
      </c>
      <c r="J91" s="101" t="s">
        <v>118</v>
      </c>
      <c r="K91" s="101" t="s">
        <v>116</v>
      </c>
      <c r="L91" s="101" t="s">
        <v>871</v>
      </c>
      <c r="M91" s="101" t="n">
        <v>119</v>
      </c>
      <c r="N91" s="101" t="n">
        <v>4.66</v>
      </c>
      <c r="O91" s="101" t="n">
        <v>9.3</v>
      </c>
      <c r="P91" s="101" t="s">
        <v>113</v>
      </c>
      <c r="Q91" s="101" t="s">
        <v>113</v>
      </c>
      <c r="R91" s="101" t="s">
        <v>124</v>
      </c>
      <c r="S91" s="101" t="s">
        <v>486</v>
      </c>
      <c r="T91" s="101" t="s">
        <v>479</v>
      </c>
      <c r="U91" s="101" t="s">
        <v>124</v>
      </c>
      <c r="V91" s="101" t="n">
        <v>160.86</v>
      </c>
    </row>
    <row r="92" customFormat="false" ht="15" hidden="false" customHeight="true" outlineLevel="0" collapsed="false">
      <c r="A92" s="101" t="s">
        <v>872</v>
      </c>
      <c r="B92" s="101" t="s">
        <v>873</v>
      </c>
      <c r="C92" s="101" t="s">
        <v>874</v>
      </c>
      <c r="D92" s="101" t="s">
        <v>875</v>
      </c>
      <c r="E92" s="101" t="s">
        <v>507</v>
      </c>
      <c r="F92" s="101" t="s">
        <v>559</v>
      </c>
      <c r="G92" s="101" t="s">
        <v>560</v>
      </c>
      <c r="H92" s="101" t="s">
        <v>517</v>
      </c>
      <c r="I92" s="101" t="s">
        <v>345</v>
      </c>
      <c r="J92" s="101" t="s">
        <v>111</v>
      </c>
      <c r="K92" s="101" t="s">
        <v>112</v>
      </c>
      <c r="L92" s="101" t="s">
        <v>876</v>
      </c>
      <c r="M92" s="101" t="n">
        <v>69</v>
      </c>
      <c r="N92" s="101" t="n">
        <v>6.44</v>
      </c>
      <c r="O92" s="101" t="n">
        <v>5.5</v>
      </c>
      <c r="P92" s="101" t="s">
        <v>113</v>
      </c>
      <c r="Q92" s="101" t="s">
        <v>124</v>
      </c>
      <c r="R92" s="101" t="s">
        <v>124</v>
      </c>
      <c r="S92" s="101" t="n">
        <v>3</v>
      </c>
      <c r="T92" s="101" t="s">
        <v>487</v>
      </c>
      <c r="U92" s="101" t="s">
        <v>124</v>
      </c>
      <c r="V92" s="101" t="n">
        <v>77.56</v>
      </c>
    </row>
    <row r="93" customFormat="false" ht="15" hidden="false" customHeight="true" outlineLevel="0" collapsed="false">
      <c r="A93" s="101" t="s">
        <v>877</v>
      </c>
      <c r="B93" s="101" t="s">
        <v>878</v>
      </c>
      <c r="C93" s="101" t="s">
        <v>815</v>
      </c>
      <c r="D93" s="101" t="s">
        <v>879</v>
      </c>
      <c r="E93" s="101" t="s">
        <v>473</v>
      </c>
      <c r="F93" s="101" t="s">
        <v>545</v>
      </c>
      <c r="G93" s="101" t="s">
        <v>546</v>
      </c>
      <c r="H93" s="101" t="s">
        <v>880</v>
      </c>
      <c r="I93" s="101" t="s">
        <v>881</v>
      </c>
      <c r="J93" s="101" t="s">
        <v>118</v>
      </c>
      <c r="K93" s="101" t="s">
        <v>194</v>
      </c>
      <c r="L93" s="101" t="s">
        <v>882</v>
      </c>
      <c r="M93" s="101" t="n">
        <v>34</v>
      </c>
      <c r="N93" s="101" t="n">
        <v>4.8</v>
      </c>
      <c r="O93" s="101" t="n">
        <v>25.755</v>
      </c>
      <c r="P93" s="101" t="s">
        <v>113</v>
      </c>
      <c r="Q93" s="101" t="s">
        <v>113</v>
      </c>
      <c r="R93" s="101" t="s">
        <v>124</v>
      </c>
      <c r="S93" s="101" t="s">
        <v>486</v>
      </c>
      <c r="T93" s="101" t="s">
        <v>487</v>
      </c>
      <c r="U93" s="101" t="s">
        <v>124</v>
      </c>
      <c r="V93" s="101" t="n">
        <v>445.49</v>
      </c>
    </row>
    <row r="94" customFormat="false" ht="15" hidden="false" customHeight="true" outlineLevel="0" collapsed="false">
      <c r="A94" s="101" t="s">
        <v>883</v>
      </c>
      <c r="B94" s="101" t="s">
        <v>884</v>
      </c>
      <c r="C94" s="101" t="s">
        <v>885</v>
      </c>
      <c r="D94" s="101" t="s">
        <v>886</v>
      </c>
      <c r="E94" s="101" t="s">
        <v>473</v>
      </c>
      <c r="F94" s="101" t="s">
        <v>508</v>
      </c>
      <c r="G94" s="101" t="s">
        <v>475</v>
      </c>
      <c r="H94" s="101" t="s">
        <v>673</v>
      </c>
      <c r="I94" s="101" t="s">
        <v>645</v>
      </c>
      <c r="J94" s="101" t="s">
        <v>133</v>
      </c>
      <c r="K94" s="101"/>
      <c r="L94" s="101" t="s">
        <v>547</v>
      </c>
      <c r="M94" s="101" t="n">
        <v>26</v>
      </c>
      <c r="N94" s="101" t="n">
        <v>0.93</v>
      </c>
      <c r="O94" s="101" t="n">
        <v>2.2</v>
      </c>
      <c r="P94" s="101" t="s">
        <v>113</v>
      </c>
      <c r="Q94" s="101" t="s">
        <v>124</v>
      </c>
      <c r="R94" s="101" t="s">
        <v>124</v>
      </c>
      <c r="S94" s="101"/>
      <c r="T94" s="101" t="s">
        <v>479</v>
      </c>
      <c r="U94" s="101" t="s">
        <v>124</v>
      </c>
      <c r="V94" s="101" t="n">
        <v>10.56</v>
      </c>
    </row>
    <row r="95" customFormat="false" ht="15" hidden="false" customHeight="true" outlineLevel="0" collapsed="false">
      <c r="A95" s="101" t="s">
        <v>887</v>
      </c>
      <c r="B95" s="101" t="s">
        <v>888</v>
      </c>
      <c r="C95" s="101" t="s">
        <v>889</v>
      </c>
      <c r="D95" s="101" t="s">
        <v>506</v>
      </c>
      <c r="E95" s="101" t="s">
        <v>507</v>
      </c>
      <c r="F95" s="101" t="s">
        <v>566</v>
      </c>
      <c r="G95" s="101" t="s">
        <v>546</v>
      </c>
      <c r="H95" s="101" t="s">
        <v>517</v>
      </c>
      <c r="I95" s="101" t="s">
        <v>345</v>
      </c>
      <c r="J95" s="101" t="s">
        <v>118</v>
      </c>
      <c r="K95" s="101" t="s">
        <v>199</v>
      </c>
      <c r="L95" s="101" t="s">
        <v>890</v>
      </c>
      <c r="M95" s="101" t="n">
        <v>62</v>
      </c>
      <c r="N95" s="101" t="n">
        <v>1.28</v>
      </c>
      <c r="O95" s="101" t="n">
        <v>16.3</v>
      </c>
      <c r="P95" s="101" t="s">
        <v>113</v>
      </c>
      <c r="Q95" s="101" t="s">
        <v>113</v>
      </c>
      <c r="R95" s="101" t="s">
        <v>124</v>
      </c>
      <c r="S95" s="101" t="n">
        <v>5</v>
      </c>
      <c r="T95" s="101" t="s">
        <v>496</v>
      </c>
      <c r="U95" s="101" t="s">
        <v>124</v>
      </c>
      <c r="V95" s="101" t="n">
        <v>281.95</v>
      </c>
    </row>
    <row r="96" customFormat="false" ht="15" hidden="false" customHeight="true" outlineLevel="0" collapsed="false">
      <c r="A96" s="101" t="s">
        <v>891</v>
      </c>
      <c r="B96" s="101" t="s">
        <v>892</v>
      </c>
      <c r="C96" s="101" t="s">
        <v>893</v>
      </c>
      <c r="D96" s="101" t="s">
        <v>894</v>
      </c>
      <c r="E96" s="101" t="s">
        <v>500</v>
      </c>
      <c r="F96" s="101" t="s">
        <v>508</v>
      </c>
      <c r="G96" s="101" t="s">
        <v>475</v>
      </c>
      <c r="H96" s="101" t="s">
        <v>484</v>
      </c>
      <c r="I96" s="101" t="s">
        <v>345</v>
      </c>
      <c r="J96" s="101" t="s">
        <v>123</v>
      </c>
      <c r="K96" s="101" t="s">
        <v>199</v>
      </c>
      <c r="L96" s="101" t="s">
        <v>895</v>
      </c>
      <c r="M96" s="101" t="n">
        <v>9633</v>
      </c>
      <c r="N96" s="101" t="n">
        <v>5.35</v>
      </c>
      <c r="O96" s="101" t="n">
        <v>21.465</v>
      </c>
      <c r="P96" s="101" t="s">
        <v>113</v>
      </c>
      <c r="Q96" s="101" t="s">
        <v>113</v>
      </c>
      <c r="R96" s="101" t="s">
        <v>124</v>
      </c>
      <c r="S96" s="101" t="s">
        <v>486</v>
      </c>
      <c r="T96" s="101" t="s">
        <v>487</v>
      </c>
      <c r="U96" s="101" t="s">
        <v>124</v>
      </c>
      <c r="V96" s="101" t="n">
        <v>160.99</v>
      </c>
    </row>
    <row r="97" customFormat="false" ht="15" hidden="false" customHeight="true" outlineLevel="0" collapsed="false">
      <c r="A97" s="101" t="s">
        <v>896</v>
      </c>
      <c r="B97" s="101" t="s">
        <v>897</v>
      </c>
      <c r="C97" s="101" t="s">
        <v>898</v>
      </c>
      <c r="D97" s="101" t="s">
        <v>899</v>
      </c>
      <c r="E97" s="101" t="s">
        <v>539</v>
      </c>
      <c r="F97" s="101" t="s">
        <v>474</v>
      </c>
      <c r="G97" s="101" t="s">
        <v>475</v>
      </c>
      <c r="H97" s="101" t="s">
        <v>509</v>
      </c>
      <c r="I97" s="101" t="s">
        <v>345</v>
      </c>
      <c r="J97" s="101" t="s">
        <v>118</v>
      </c>
      <c r="K97" s="101" t="s">
        <v>199</v>
      </c>
      <c r="L97" s="101" t="s">
        <v>900</v>
      </c>
      <c r="M97" s="101" t="n">
        <v>80</v>
      </c>
      <c r="N97" s="101" t="n">
        <v>8.49</v>
      </c>
      <c r="O97" s="101" t="n">
        <v>26.8</v>
      </c>
      <c r="P97" s="101" t="s">
        <v>113</v>
      </c>
      <c r="Q97" s="101" t="s">
        <v>113</v>
      </c>
      <c r="R97" s="101" t="s">
        <v>124</v>
      </c>
      <c r="S97" s="101" t="n">
        <v>3</v>
      </c>
      <c r="T97" s="101" t="s">
        <v>487</v>
      </c>
      <c r="U97" s="101" t="s">
        <v>124</v>
      </c>
      <c r="V97" s="101" t="n">
        <v>463.57</v>
      </c>
    </row>
    <row r="98" customFormat="false" ht="15" hidden="false" customHeight="true" outlineLevel="0" collapsed="false">
      <c r="A98" s="101" t="s">
        <v>901</v>
      </c>
      <c r="B98" s="101" t="s">
        <v>902</v>
      </c>
      <c r="C98" s="101" t="s">
        <v>903</v>
      </c>
      <c r="D98" s="101" t="s">
        <v>739</v>
      </c>
      <c r="E98" s="101" t="s">
        <v>514</v>
      </c>
      <c r="F98" s="101" t="s">
        <v>515</v>
      </c>
      <c r="G98" s="101" t="s">
        <v>516</v>
      </c>
      <c r="H98" s="101" t="s">
        <v>561</v>
      </c>
      <c r="I98" s="101" t="s">
        <v>345</v>
      </c>
      <c r="J98" s="101" t="s">
        <v>133</v>
      </c>
      <c r="K98" s="101"/>
      <c r="L98" s="101" t="s">
        <v>547</v>
      </c>
      <c r="M98" s="101" t="n">
        <v>12</v>
      </c>
      <c r="N98" s="101" t="n">
        <v>0.69</v>
      </c>
      <c r="O98" s="101" t="n">
        <v>2.3</v>
      </c>
      <c r="P98" s="101" t="s">
        <v>113</v>
      </c>
      <c r="Q98" s="101" t="s">
        <v>113</v>
      </c>
      <c r="R98" s="101" t="s">
        <v>124</v>
      </c>
      <c r="S98" s="101" t="n">
        <v>5</v>
      </c>
      <c r="T98" s="101" t="s">
        <v>496</v>
      </c>
      <c r="U98" s="101" t="s">
        <v>124</v>
      </c>
      <c r="V98" s="101" t="n">
        <v>11.04</v>
      </c>
    </row>
    <row r="99" customFormat="false" ht="15" hidden="false" customHeight="true" outlineLevel="0" collapsed="false">
      <c r="A99" s="101" t="s">
        <v>904</v>
      </c>
      <c r="B99" s="101" t="s">
        <v>905</v>
      </c>
      <c r="C99" s="101" t="s">
        <v>906</v>
      </c>
      <c r="D99" s="101" t="s">
        <v>654</v>
      </c>
      <c r="E99" s="101" t="s">
        <v>473</v>
      </c>
      <c r="F99" s="101" t="s">
        <v>474</v>
      </c>
      <c r="G99" s="101" t="s">
        <v>475</v>
      </c>
      <c r="H99" s="101" t="s">
        <v>517</v>
      </c>
      <c r="I99" s="101" t="s">
        <v>345</v>
      </c>
      <c r="J99" s="101" t="s">
        <v>123</v>
      </c>
      <c r="K99" s="101" t="s">
        <v>120</v>
      </c>
      <c r="L99" s="101" t="s">
        <v>907</v>
      </c>
      <c r="M99" s="101" t="n">
        <v>4860</v>
      </c>
      <c r="N99" s="101" t="n">
        <v>3.22</v>
      </c>
      <c r="O99" s="101" t="n">
        <v>11.8</v>
      </c>
      <c r="P99" s="101" t="s">
        <v>113</v>
      </c>
      <c r="Q99" s="101" t="s">
        <v>124</v>
      </c>
      <c r="R99" s="101" t="s">
        <v>113</v>
      </c>
      <c r="S99" s="101" t="n">
        <v>2</v>
      </c>
      <c r="T99" s="101" t="s">
        <v>616</v>
      </c>
      <c r="U99" s="101" t="s">
        <v>124</v>
      </c>
      <c r="V99" s="101" t="n">
        <v>88.5</v>
      </c>
    </row>
    <row r="100" customFormat="false" ht="15" hidden="false" customHeight="true" outlineLevel="0" collapsed="false">
      <c r="A100" s="101" t="s">
        <v>908</v>
      </c>
      <c r="B100" s="101" t="s">
        <v>909</v>
      </c>
      <c r="C100" s="101" t="s">
        <v>910</v>
      </c>
      <c r="D100" s="101" t="s">
        <v>820</v>
      </c>
      <c r="E100" s="101" t="s">
        <v>483</v>
      </c>
      <c r="F100" s="101" t="s">
        <v>474</v>
      </c>
      <c r="G100" s="101" t="s">
        <v>475</v>
      </c>
      <c r="H100" s="101" t="s">
        <v>484</v>
      </c>
      <c r="I100" s="101" t="s">
        <v>345</v>
      </c>
      <c r="J100" s="101" t="s">
        <v>115</v>
      </c>
      <c r="K100" s="101" t="s">
        <v>120</v>
      </c>
      <c r="L100" s="101" t="s">
        <v>535</v>
      </c>
      <c r="M100" s="101" t="n">
        <v>171</v>
      </c>
      <c r="N100" s="101" t="n">
        <v>5.8</v>
      </c>
      <c r="O100" s="101" t="n">
        <v>15.525</v>
      </c>
      <c r="P100" s="101" t="s">
        <v>113</v>
      </c>
      <c r="Q100" s="101" t="s">
        <v>113</v>
      </c>
      <c r="R100" s="101" t="s">
        <v>124</v>
      </c>
      <c r="S100" s="101" t="s">
        <v>486</v>
      </c>
      <c r="T100" s="101" t="s">
        <v>487</v>
      </c>
      <c r="U100" s="101" t="s">
        <v>124</v>
      </c>
      <c r="V100" s="101" t="n">
        <v>236.25</v>
      </c>
    </row>
    <row r="101" customFormat="false" ht="15" hidden="false" customHeight="true" outlineLevel="0" collapsed="false">
      <c r="A101" s="101" t="s">
        <v>911</v>
      </c>
      <c r="B101" s="101" t="s">
        <v>912</v>
      </c>
      <c r="C101" s="101" t="s">
        <v>576</v>
      </c>
      <c r="D101" s="101" t="s">
        <v>913</v>
      </c>
      <c r="E101" s="101" t="s">
        <v>507</v>
      </c>
      <c r="F101" s="101" t="s">
        <v>492</v>
      </c>
      <c r="G101" s="101" t="s">
        <v>475</v>
      </c>
      <c r="H101" s="101" t="s">
        <v>484</v>
      </c>
      <c r="I101" s="101" t="s">
        <v>345</v>
      </c>
      <c r="J101" s="101" t="s">
        <v>111</v>
      </c>
      <c r="K101" s="101" t="s">
        <v>112</v>
      </c>
      <c r="L101" s="101" t="s">
        <v>914</v>
      </c>
      <c r="M101" s="101" t="n">
        <v>642</v>
      </c>
      <c r="N101" s="101" t="n">
        <v>5.23</v>
      </c>
      <c r="O101" s="101" t="n">
        <v>19.71</v>
      </c>
      <c r="P101" s="101" t="s">
        <v>113</v>
      </c>
      <c r="Q101" s="101" t="s">
        <v>113</v>
      </c>
      <c r="R101" s="101" t="s">
        <v>124</v>
      </c>
      <c r="S101" s="101" t="s">
        <v>486</v>
      </c>
      <c r="T101" s="101" t="s">
        <v>479</v>
      </c>
      <c r="U101" s="101" t="s">
        <v>124</v>
      </c>
      <c r="V101" s="101" t="n">
        <v>277.96</v>
      </c>
    </row>
    <row r="102" customFormat="false" ht="15" hidden="false" customHeight="true" outlineLevel="0" collapsed="false">
      <c r="A102" s="101" t="s">
        <v>915</v>
      </c>
      <c r="B102" s="101" t="s">
        <v>916</v>
      </c>
      <c r="C102" s="101" t="s">
        <v>917</v>
      </c>
      <c r="D102" s="101" t="s">
        <v>918</v>
      </c>
      <c r="E102" s="101" t="s">
        <v>500</v>
      </c>
      <c r="F102" s="101" t="s">
        <v>740</v>
      </c>
      <c r="G102" s="101" t="s">
        <v>560</v>
      </c>
      <c r="H102" s="101" t="s">
        <v>540</v>
      </c>
      <c r="I102" s="101" t="s">
        <v>477</v>
      </c>
      <c r="J102" s="101" t="s">
        <v>115</v>
      </c>
      <c r="K102" s="101" t="s">
        <v>112</v>
      </c>
      <c r="L102" s="101" t="s">
        <v>745</v>
      </c>
      <c r="M102" s="101" t="n">
        <v>290</v>
      </c>
      <c r="N102" s="101" t="n">
        <v>4.39</v>
      </c>
      <c r="O102" s="101" t="n">
        <v>7.7</v>
      </c>
      <c r="P102" s="101" t="s">
        <v>113</v>
      </c>
      <c r="Q102" s="101" t="s">
        <v>113</v>
      </c>
      <c r="R102" s="101" t="s">
        <v>124</v>
      </c>
      <c r="S102" s="101"/>
      <c r="T102" s="101" t="s">
        <v>479</v>
      </c>
      <c r="U102" s="101" t="s">
        <v>124</v>
      </c>
      <c r="V102" s="101" t="n">
        <v>117.17</v>
      </c>
    </row>
    <row r="103" customFormat="false" ht="15" hidden="false" customHeight="true" outlineLevel="0" collapsed="false">
      <c r="A103" s="101" t="s">
        <v>919</v>
      </c>
      <c r="B103" s="101" t="s">
        <v>920</v>
      </c>
      <c r="C103" s="101" t="s">
        <v>921</v>
      </c>
      <c r="D103" s="101" t="s">
        <v>922</v>
      </c>
      <c r="E103" s="101" t="s">
        <v>539</v>
      </c>
      <c r="F103" s="101" t="s">
        <v>474</v>
      </c>
      <c r="G103" s="101" t="s">
        <v>475</v>
      </c>
      <c r="H103" s="101" t="s">
        <v>540</v>
      </c>
      <c r="I103" s="101" t="s">
        <v>477</v>
      </c>
      <c r="J103" s="101" t="s">
        <v>115</v>
      </c>
      <c r="K103" s="101" t="s">
        <v>199</v>
      </c>
      <c r="L103" s="101" t="s">
        <v>923</v>
      </c>
      <c r="M103" s="101" t="n">
        <v>84</v>
      </c>
      <c r="N103" s="101" t="n">
        <v>28.72</v>
      </c>
      <c r="O103" s="101" t="n">
        <v>13.1</v>
      </c>
      <c r="P103" s="101" t="s">
        <v>113</v>
      </c>
      <c r="Q103" s="101" t="s">
        <v>113</v>
      </c>
      <c r="R103" s="101" t="s">
        <v>124</v>
      </c>
      <c r="S103" s="101"/>
      <c r="T103" s="101" t="s">
        <v>479</v>
      </c>
      <c r="U103" s="101" t="s">
        <v>124</v>
      </c>
      <c r="V103" s="101" t="n">
        <v>199.35</v>
      </c>
    </row>
    <row r="104" customFormat="false" ht="15" hidden="false" customHeight="true" outlineLevel="0" collapsed="false">
      <c r="A104" s="101" t="s">
        <v>924</v>
      </c>
      <c r="B104" s="101" t="s">
        <v>925</v>
      </c>
      <c r="C104" s="101" t="s">
        <v>926</v>
      </c>
      <c r="D104" s="101" t="s">
        <v>786</v>
      </c>
      <c r="E104" s="101" t="s">
        <v>500</v>
      </c>
      <c r="F104" s="101" t="s">
        <v>530</v>
      </c>
      <c r="G104" s="101" t="s">
        <v>516</v>
      </c>
      <c r="H104" s="101" t="s">
        <v>484</v>
      </c>
      <c r="I104" s="101" t="s">
        <v>345</v>
      </c>
      <c r="J104" s="101" t="s">
        <v>118</v>
      </c>
      <c r="K104" s="101" t="s">
        <v>116</v>
      </c>
      <c r="L104" s="101" t="s">
        <v>562</v>
      </c>
      <c r="M104" s="101" t="n">
        <v>105</v>
      </c>
      <c r="N104" s="101" t="n">
        <v>13.03</v>
      </c>
      <c r="O104" s="101" t="n">
        <v>27.405</v>
      </c>
      <c r="P104" s="101" t="s">
        <v>113</v>
      </c>
      <c r="Q104" s="101" t="s">
        <v>113</v>
      </c>
      <c r="R104" s="101" t="s">
        <v>124</v>
      </c>
      <c r="S104" s="101" t="n">
        <v>3</v>
      </c>
      <c r="T104" s="101" t="s">
        <v>487</v>
      </c>
      <c r="U104" s="101" t="s">
        <v>124</v>
      </c>
      <c r="V104" s="101" t="n">
        <v>474.03</v>
      </c>
    </row>
    <row r="105" customFormat="false" ht="15" hidden="false" customHeight="true" outlineLevel="0" collapsed="false">
      <c r="A105" s="101" t="s">
        <v>927</v>
      </c>
      <c r="B105" s="101" t="s">
        <v>928</v>
      </c>
      <c r="C105" s="101" t="s">
        <v>929</v>
      </c>
      <c r="D105" s="101" t="s">
        <v>930</v>
      </c>
      <c r="E105" s="101" t="s">
        <v>514</v>
      </c>
      <c r="F105" s="101" t="s">
        <v>474</v>
      </c>
      <c r="G105" s="101" t="s">
        <v>475</v>
      </c>
      <c r="H105" s="101" t="s">
        <v>727</v>
      </c>
      <c r="I105" s="101" t="s">
        <v>645</v>
      </c>
      <c r="J105" s="101" t="s">
        <v>123</v>
      </c>
      <c r="K105" s="101" t="s">
        <v>116</v>
      </c>
      <c r="L105" s="101" t="s">
        <v>931</v>
      </c>
      <c r="M105" s="101" t="n">
        <v>16464</v>
      </c>
      <c r="N105" s="101" t="n">
        <v>3.54</v>
      </c>
      <c r="O105" s="101" t="n">
        <v>42.5</v>
      </c>
      <c r="P105" s="101" t="s">
        <v>124</v>
      </c>
      <c r="Q105" s="101" t="s">
        <v>113</v>
      </c>
      <c r="R105" s="101" t="s">
        <v>124</v>
      </c>
      <c r="S105" s="101" t="n">
        <v>3</v>
      </c>
      <c r="T105" s="101" t="s">
        <v>487</v>
      </c>
      <c r="U105" s="101" t="s">
        <v>124</v>
      </c>
      <c r="V105" s="101" t="n">
        <v>318.75</v>
      </c>
    </row>
    <row r="106" customFormat="false" ht="15" hidden="false" customHeight="true" outlineLevel="0" collapsed="false">
      <c r="A106" s="101" t="s">
        <v>932</v>
      </c>
      <c r="B106" s="101" t="s">
        <v>933</v>
      </c>
      <c r="C106" s="101" t="s">
        <v>934</v>
      </c>
      <c r="D106" s="101" t="s">
        <v>577</v>
      </c>
      <c r="E106" s="101" t="s">
        <v>500</v>
      </c>
      <c r="F106" s="101" t="s">
        <v>474</v>
      </c>
      <c r="G106" s="101" t="s">
        <v>475</v>
      </c>
      <c r="H106" s="101" t="s">
        <v>484</v>
      </c>
      <c r="I106" s="101" t="s">
        <v>345</v>
      </c>
      <c r="J106" s="101" t="s">
        <v>133</v>
      </c>
      <c r="K106" s="101"/>
      <c r="L106" s="101" t="s">
        <v>547</v>
      </c>
      <c r="M106" s="101" t="n">
        <v>10</v>
      </c>
      <c r="N106" s="101" t="n">
        <v>11.82</v>
      </c>
      <c r="O106" s="101" t="n">
        <v>4.185</v>
      </c>
      <c r="P106" s="101" t="s">
        <v>113</v>
      </c>
      <c r="Q106" s="101" t="s">
        <v>113</v>
      </c>
      <c r="R106" s="101" t="s">
        <v>124</v>
      </c>
      <c r="S106" s="101" t="s">
        <v>486</v>
      </c>
      <c r="T106" s="101" t="s">
        <v>496</v>
      </c>
      <c r="U106" s="101" t="s">
        <v>124</v>
      </c>
      <c r="V106" s="101" t="n">
        <v>20.09</v>
      </c>
    </row>
    <row r="107" customFormat="false" ht="15" hidden="false" customHeight="true" outlineLevel="0" collapsed="false">
      <c r="A107" s="101" t="s">
        <v>935</v>
      </c>
      <c r="B107" s="101" t="s">
        <v>936</v>
      </c>
      <c r="C107" s="101" t="s">
        <v>937</v>
      </c>
      <c r="D107" s="101" t="s">
        <v>938</v>
      </c>
      <c r="E107" s="101" t="s">
        <v>491</v>
      </c>
      <c r="F107" s="101" t="s">
        <v>474</v>
      </c>
      <c r="G107" s="101" t="s">
        <v>475</v>
      </c>
      <c r="H107" s="101" t="s">
        <v>484</v>
      </c>
      <c r="I107" s="101" t="s">
        <v>345</v>
      </c>
      <c r="J107" s="101" t="s">
        <v>111</v>
      </c>
      <c r="K107" s="101" t="s">
        <v>116</v>
      </c>
      <c r="L107" s="101" t="s">
        <v>939</v>
      </c>
      <c r="M107" s="101" t="n">
        <v>689</v>
      </c>
      <c r="N107" s="101" t="n">
        <v>58.94</v>
      </c>
      <c r="O107" s="101" t="n">
        <v>7.83</v>
      </c>
      <c r="P107" s="101" t="s">
        <v>113</v>
      </c>
      <c r="Q107" s="101" t="s">
        <v>113</v>
      </c>
      <c r="R107" s="101" t="s">
        <v>124</v>
      </c>
      <c r="S107" s="101" t="n">
        <v>4</v>
      </c>
      <c r="T107" s="101" t="s">
        <v>479</v>
      </c>
      <c r="U107" s="101" t="s">
        <v>124</v>
      </c>
      <c r="V107" s="101" t="n">
        <v>110.42</v>
      </c>
    </row>
    <row r="108" customFormat="false" ht="15" hidden="false" customHeight="true" outlineLevel="0" collapsed="false">
      <c r="A108" s="101" t="s">
        <v>940</v>
      </c>
      <c r="B108" s="101" t="s">
        <v>941</v>
      </c>
      <c r="C108" s="101" t="s">
        <v>942</v>
      </c>
      <c r="D108" s="101" t="s">
        <v>833</v>
      </c>
      <c r="E108" s="101" t="s">
        <v>539</v>
      </c>
      <c r="F108" s="101" t="s">
        <v>740</v>
      </c>
      <c r="G108" s="101" t="s">
        <v>560</v>
      </c>
      <c r="H108" s="101" t="s">
        <v>561</v>
      </c>
      <c r="I108" s="101" t="s">
        <v>345</v>
      </c>
      <c r="J108" s="101" t="s">
        <v>115</v>
      </c>
      <c r="K108" s="101" t="s">
        <v>120</v>
      </c>
      <c r="L108" s="101" t="s">
        <v>571</v>
      </c>
      <c r="M108" s="101" t="n">
        <v>116</v>
      </c>
      <c r="N108" s="101" t="n">
        <v>1.33</v>
      </c>
      <c r="O108" s="101" t="n">
        <v>7.8</v>
      </c>
      <c r="P108" s="101" t="s">
        <v>113</v>
      </c>
      <c r="Q108" s="101" t="s">
        <v>113</v>
      </c>
      <c r="R108" s="101" t="s">
        <v>124</v>
      </c>
      <c r="S108" s="101" t="n">
        <v>5</v>
      </c>
      <c r="T108" s="101" t="s">
        <v>496</v>
      </c>
      <c r="U108" s="101" t="s">
        <v>124</v>
      </c>
      <c r="V108" s="101" t="n">
        <v>118.7</v>
      </c>
    </row>
    <row r="109" customFormat="false" ht="15" hidden="false" customHeight="true" outlineLevel="0" collapsed="false">
      <c r="A109" s="101" t="s">
        <v>943</v>
      </c>
      <c r="B109" s="101" t="s">
        <v>944</v>
      </c>
      <c r="C109" s="101" t="s">
        <v>945</v>
      </c>
      <c r="D109" s="101" t="s">
        <v>668</v>
      </c>
      <c r="E109" s="101" t="s">
        <v>500</v>
      </c>
      <c r="F109" s="101" t="s">
        <v>566</v>
      </c>
      <c r="G109" s="101" t="s">
        <v>546</v>
      </c>
      <c r="H109" s="101" t="s">
        <v>509</v>
      </c>
      <c r="I109" s="101" t="s">
        <v>345</v>
      </c>
      <c r="J109" s="101" t="s">
        <v>118</v>
      </c>
      <c r="K109" s="101" t="s">
        <v>116</v>
      </c>
      <c r="L109" s="101" t="s">
        <v>946</v>
      </c>
      <c r="M109" s="101" t="n">
        <v>31</v>
      </c>
      <c r="N109" s="101" t="n">
        <v>7.85</v>
      </c>
      <c r="O109" s="101" t="n">
        <v>5.8</v>
      </c>
      <c r="P109" s="101" t="s">
        <v>113</v>
      </c>
      <c r="Q109" s="101" t="s">
        <v>113</v>
      </c>
      <c r="R109" s="101" t="s">
        <v>124</v>
      </c>
      <c r="S109" s="101" t="n">
        <v>4</v>
      </c>
      <c r="T109" s="101" t="s">
        <v>479</v>
      </c>
      <c r="U109" s="101" t="s">
        <v>124</v>
      </c>
      <c r="V109" s="101" t="n">
        <v>100.32</v>
      </c>
    </row>
    <row r="110" customFormat="false" ht="15" hidden="false" customHeight="true" outlineLevel="0" collapsed="false">
      <c r="A110" s="101" t="s">
        <v>947</v>
      </c>
      <c r="B110" s="101" t="s">
        <v>948</v>
      </c>
      <c r="C110" s="101" t="s">
        <v>949</v>
      </c>
      <c r="D110" s="101" t="s">
        <v>950</v>
      </c>
      <c r="E110" s="101" t="s">
        <v>473</v>
      </c>
      <c r="F110" s="101" t="s">
        <v>566</v>
      </c>
      <c r="G110" s="101" t="s">
        <v>546</v>
      </c>
      <c r="H110" s="101" t="s">
        <v>561</v>
      </c>
      <c r="I110" s="101" t="s">
        <v>345</v>
      </c>
      <c r="J110" s="101" t="s">
        <v>118</v>
      </c>
      <c r="K110" s="101" t="s">
        <v>120</v>
      </c>
      <c r="L110" s="101" t="s">
        <v>571</v>
      </c>
      <c r="M110" s="101" t="n">
        <v>30</v>
      </c>
      <c r="N110" s="101" t="n">
        <v>3.06</v>
      </c>
      <c r="O110" s="101" t="n">
        <v>12.8</v>
      </c>
      <c r="P110" s="101" t="s">
        <v>113</v>
      </c>
      <c r="Q110" s="101" t="s">
        <v>113</v>
      </c>
      <c r="R110" s="101" t="s">
        <v>124</v>
      </c>
      <c r="S110" s="101" t="n">
        <v>5</v>
      </c>
      <c r="T110" s="101" t="s">
        <v>496</v>
      </c>
      <c r="U110" s="101" t="s">
        <v>124</v>
      </c>
      <c r="V110" s="101" t="n">
        <v>221.41</v>
      </c>
    </row>
    <row r="111" customFormat="false" ht="15" hidden="false" customHeight="true" outlineLevel="0" collapsed="false">
      <c r="A111" s="101" t="s">
        <v>951</v>
      </c>
      <c r="B111" s="101" t="s">
        <v>952</v>
      </c>
      <c r="C111" s="101" t="s">
        <v>953</v>
      </c>
      <c r="D111" s="101" t="s">
        <v>954</v>
      </c>
      <c r="E111" s="101" t="s">
        <v>539</v>
      </c>
      <c r="F111" s="101" t="s">
        <v>559</v>
      </c>
      <c r="G111" s="101" t="s">
        <v>560</v>
      </c>
      <c r="H111" s="101" t="s">
        <v>592</v>
      </c>
      <c r="I111" s="101" t="s">
        <v>593</v>
      </c>
      <c r="J111" s="101" t="s">
        <v>115</v>
      </c>
      <c r="K111" s="101" t="s">
        <v>112</v>
      </c>
      <c r="L111" s="101" t="s">
        <v>741</v>
      </c>
      <c r="M111" s="101" t="n">
        <v>95</v>
      </c>
      <c r="N111" s="101" t="n">
        <v>1.86</v>
      </c>
      <c r="O111" s="101" t="n">
        <v>12.9</v>
      </c>
      <c r="P111" s="101" t="s">
        <v>113</v>
      </c>
      <c r="Q111" s="101" t="s">
        <v>113</v>
      </c>
      <c r="R111" s="101" t="s">
        <v>124</v>
      </c>
      <c r="S111" s="101"/>
      <c r="T111" s="101" t="s">
        <v>496</v>
      </c>
      <c r="U111" s="101" t="s">
        <v>124</v>
      </c>
      <c r="V111" s="101" t="n">
        <v>196.3</v>
      </c>
    </row>
    <row r="112" customFormat="false" ht="15" hidden="false" customHeight="true" outlineLevel="0" collapsed="false">
      <c r="A112" s="101" t="s">
        <v>955</v>
      </c>
      <c r="B112" s="101" t="s">
        <v>956</v>
      </c>
      <c r="C112" s="101" t="s">
        <v>957</v>
      </c>
      <c r="D112" s="101" t="s">
        <v>958</v>
      </c>
      <c r="E112" s="101" t="s">
        <v>500</v>
      </c>
      <c r="F112" s="101" t="s">
        <v>530</v>
      </c>
      <c r="G112" s="101" t="s">
        <v>516</v>
      </c>
      <c r="H112" s="101" t="s">
        <v>484</v>
      </c>
      <c r="I112" s="101" t="s">
        <v>345</v>
      </c>
      <c r="J112" s="101" t="s">
        <v>111</v>
      </c>
      <c r="K112" s="101" t="s">
        <v>116</v>
      </c>
      <c r="L112" s="101" t="s">
        <v>959</v>
      </c>
      <c r="M112" s="101" t="n">
        <v>605</v>
      </c>
      <c r="N112" s="101" t="n">
        <v>12.39</v>
      </c>
      <c r="O112" s="101" t="n">
        <v>17.82</v>
      </c>
      <c r="P112" s="101" t="s">
        <v>113</v>
      </c>
      <c r="Q112" s="101" t="s">
        <v>113</v>
      </c>
      <c r="R112" s="101" t="s">
        <v>124</v>
      </c>
      <c r="S112" s="101" t="n">
        <v>4</v>
      </c>
      <c r="T112" s="101" t="s">
        <v>479</v>
      </c>
      <c r="U112" s="101" t="s">
        <v>124</v>
      </c>
      <c r="V112" s="101" t="n">
        <v>251.31</v>
      </c>
    </row>
    <row r="113" customFormat="false" ht="15" hidden="false" customHeight="true" outlineLevel="0" collapsed="false">
      <c r="A113" s="101" t="s">
        <v>960</v>
      </c>
      <c r="B113" s="101" t="s">
        <v>961</v>
      </c>
      <c r="C113" s="101" t="s">
        <v>962</v>
      </c>
      <c r="D113" s="101" t="s">
        <v>963</v>
      </c>
      <c r="E113" s="101" t="s">
        <v>514</v>
      </c>
      <c r="F113" s="101" t="s">
        <v>530</v>
      </c>
      <c r="G113" s="101" t="s">
        <v>516</v>
      </c>
      <c r="H113" s="101" t="s">
        <v>561</v>
      </c>
      <c r="I113" s="101" t="s">
        <v>345</v>
      </c>
      <c r="J113" s="101" t="s">
        <v>123</v>
      </c>
      <c r="K113" s="101" t="s">
        <v>120</v>
      </c>
      <c r="L113" s="101" t="s">
        <v>964</v>
      </c>
      <c r="M113" s="101" t="n">
        <v>12817</v>
      </c>
      <c r="N113" s="101" t="n">
        <v>1.56</v>
      </c>
      <c r="O113" s="101" t="n">
        <v>13.6</v>
      </c>
      <c r="P113" s="101" t="s">
        <v>113</v>
      </c>
      <c r="Q113" s="101" t="s">
        <v>124</v>
      </c>
      <c r="R113" s="101" t="s">
        <v>113</v>
      </c>
      <c r="S113" s="101" t="n">
        <v>3</v>
      </c>
      <c r="T113" s="101" t="s">
        <v>487</v>
      </c>
      <c r="U113" s="101" t="s">
        <v>124</v>
      </c>
      <c r="V113" s="101" t="n">
        <v>102</v>
      </c>
    </row>
    <row r="114" customFormat="false" ht="15" hidden="false" customHeight="true" outlineLevel="0" collapsed="false">
      <c r="A114" s="101" t="s">
        <v>965</v>
      </c>
      <c r="B114" s="101" t="s">
        <v>966</v>
      </c>
      <c r="C114" s="101" t="s">
        <v>967</v>
      </c>
      <c r="D114" s="101" t="s">
        <v>968</v>
      </c>
      <c r="E114" s="101" t="s">
        <v>500</v>
      </c>
      <c r="F114" s="101" t="s">
        <v>474</v>
      </c>
      <c r="G114" s="101" t="s">
        <v>475</v>
      </c>
      <c r="H114" s="101" t="s">
        <v>493</v>
      </c>
      <c r="I114" s="101" t="s">
        <v>494</v>
      </c>
      <c r="J114" s="101" t="s">
        <v>123</v>
      </c>
      <c r="K114" s="101" t="s">
        <v>199</v>
      </c>
      <c r="L114" s="101" t="s">
        <v>709</v>
      </c>
      <c r="M114" s="101" t="n">
        <v>21849</v>
      </c>
      <c r="N114" s="101" t="n">
        <v>8.34</v>
      </c>
      <c r="O114" s="101" t="n">
        <v>11.815</v>
      </c>
      <c r="P114" s="101" t="s">
        <v>124</v>
      </c>
      <c r="Q114" s="101" t="s">
        <v>124</v>
      </c>
      <c r="R114" s="101" t="s">
        <v>124</v>
      </c>
      <c r="S114" s="101" t="n">
        <v>2</v>
      </c>
      <c r="T114" s="101" t="s">
        <v>616</v>
      </c>
      <c r="U114" s="101" t="s">
        <v>124</v>
      </c>
      <c r="V114" s="101" t="n">
        <v>88.61</v>
      </c>
    </row>
    <row r="115" customFormat="false" ht="15" hidden="false" customHeight="true" outlineLevel="0" collapsed="false">
      <c r="A115" s="101" t="s">
        <v>969</v>
      </c>
      <c r="B115" s="101" t="s">
        <v>970</v>
      </c>
      <c r="C115" s="101" t="s">
        <v>971</v>
      </c>
      <c r="D115" s="101" t="s">
        <v>972</v>
      </c>
      <c r="E115" s="101" t="s">
        <v>539</v>
      </c>
      <c r="F115" s="101" t="s">
        <v>474</v>
      </c>
      <c r="G115" s="101" t="s">
        <v>475</v>
      </c>
      <c r="H115" s="101" t="s">
        <v>484</v>
      </c>
      <c r="I115" s="101" t="s">
        <v>345</v>
      </c>
      <c r="J115" s="101" t="s">
        <v>111</v>
      </c>
      <c r="K115" s="101" t="s">
        <v>116</v>
      </c>
      <c r="L115" s="101" t="s">
        <v>973</v>
      </c>
      <c r="M115" s="101" t="n">
        <v>727</v>
      </c>
      <c r="N115" s="101" t="n">
        <v>2.77</v>
      </c>
      <c r="O115" s="101" t="n">
        <v>8.775</v>
      </c>
      <c r="P115" s="101" t="s">
        <v>113</v>
      </c>
      <c r="Q115" s="101" t="s">
        <v>113</v>
      </c>
      <c r="R115" s="101" t="s">
        <v>124</v>
      </c>
      <c r="S115" s="101" t="n">
        <v>4</v>
      </c>
      <c r="T115" s="101" t="s">
        <v>479</v>
      </c>
      <c r="U115" s="101" t="s">
        <v>124</v>
      </c>
      <c r="V115" s="101" t="n">
        <v>123.75</v>
      </c>
    </row>
    <row r="116" customFormat="false" ht="15" hidden="false" customHeight="true" outlineLevel="0" collapsed="false">
      <c r="A116" s="101" t="s">
        <v>974</v>
      </c>
      <c r="B116" s="101" t="s">
        <v>975</v>
      </c>
      <c r="C116" s="101" t="s">
        <v>976</v>
      </c>
      <c r="D116" s="101" t="s">
        <v>550</v>
      </c>
      <c r="E116" s="101" t="s">
        <v>500</v>
      </c>
      <c r="F116" s="101" t="s">
        <v>515</v>
      </c>
      <c r="G116" s="101" t="s">
        <v>516</v>
      </c>
      <c r="H116" s="101" t="s">
        <v>476</v>
      </c>
      <c r="I116" s="101" t="s">
        <v>477</v>
      </c>
      <c r="J116" s="101" t="s">
        <v>118</v>
      </c>
      <c r="K116" s="101" t="s">
        <v>116</v>
      </c>
      <c r="L116" s="101" t="s">
        <v>973</v>
      </c>
      <c r="M116" s="101" t="n">
        <v>17</v>
      </c>
      <c r="N116" s="101" t="n">
        <v>33.33</v>
      </c>
      <c r="O116" s="101" t="n">
        <v>20.655</v>
      </c>
      <c r="P116" s="101" t="s">
        <v>113</v>
      </c>
      <c r="Q116" s="101" t="s">
        <v>113</v>
      </c>
      <c r="R116" s="101" t="s">
        <v>124</v>
      </c>
      <c r="S116" s="101" t="s">
        <v>486</v>
      </c>
      <c r="T116" s="101" t="s">
        <v>479</v>
      </c>
      <c r="U116" s="101" t="s">
        <v>124</v>
      </c>
      <c r="V116" s="101" t="n">
        <v>357.28</v>
      </c>
    </row>
    <row r="117" customFormat="false" ht="15" hidden="false" customHeight="true" outlineLevel="0" collapsed="false">
      <c r="A117" s="101" t="s">
        <v>977</v>
      </c>
      <c r="B117" s="101" t="s">
        <v>978</v>
      </c>
      <c r="C117" s="101" t="s">
        <v>979</v>
      </c>
      <c r="D117" s="101" t="s">
        <v>513</v>
      </c>
      <c r="E117" s="101" t="s">
        <v>514</v>
      </c>
      <c r="F117" s="101" t="s">
        <v>492</v>
      </c>
      <c r="G117" s="101" t="s">
        <v>475</v>
      </c>
      <c r="H117" s="101" t="s">
        <v>484</v>
      </c>
      <c r="I117" s="101" t="s">
        <v>345</v>
      </c>
      <c r="J117" s="101" t="s">
        <v>123</v>
      </c>
      <c r="K117" s="101" t="s">
        <v>120</v>
      </c>
      <c r="L117" s="101" t="s">
        <v>690</v>
      </c>
      <c r="M117" s="101" t="n">
        <v>22833</v>
      </c>
      <c r="N117" s="101" t="n">
        <v>5.78</v>
      </c>
      <c r="O117" s="101" t="n">
        <v>48.6</v>
      </c>
      <c r="P117" s="101" t="s">
        <v>124</v>
      </c>
      <c r="Q117" s="101" t="s">
        <v>113</v>
      </c>
      <c r="R117" s="101" t="s">
        <v>124</v>
      </c>
      <c r="S117" s="101" t="n">
        <v>4</v>
      </c>
      <c r="T117" s="101" t="s">
        <v>479</v>
      </c>
      <c r="U117" s="101" t="s">
        <v>124</v>
      </c>
      <c r="V117" s="101" t="n">
        <v>364.5</v>
      </c>
    </row>
    <row r="118" customFormat="false" ht="15" hidden="false" customHeight="true" outlineLevel="0" collapsed="false">
      <c r="A118" s="101" t="s">
        <v>980</v>
      </c>
      <c r="B118" s="101" t="s">
        <v>981</v>
      </c>
      <c r="C118" s="101" t="s">
        <v>982</v>
      </c>
      <c r="D118" s="101" t="s">
        <v>983</v>
      </c>
      <c r="E118" s="101" t="s">
        <v>473</v>
      </c>
      <c r="F118" s="101" t="s">
        <v>474</v>
      </c>
      <c r="G118" s="101" t="s">
        <v>475</v>
      </c>
      <c r="H118" s="101" t="s">
        <v>509</v>
      </c>
      <c r="I118" s="101" t="s">
        <v>345</v>
      </c>
      <c r="J118" s="101" t="s">
        <v>118</v>
      </c>
      <c r="K118" s="101" t="s">
        <v>194</v>
      </c>
      <c r="L118" s="101" t="s">
        <v>984</v>
      </c>
      <c r="M118" s="101" t="n">
        <v>33</v>
      </c>
      <c r="N118" s="101" t="n">
        <v>1.11</v>
      </c>
      <c r="O118" s="101" t="n">
        <v>25.4</v>
      </c>
      <c r="P118" s="101" t="s">
        <v>113</v>
      </c>
      <c r="Q118" s="101" t="s">
        <v>124</v>
      </c>
      <c r="R118" s="101" t="s">
        <v>113</v>
      </c>
      <c r="S118" s="101" t="n">
        <v>2</v>
      </c>
      <c r="T118" s="101" t="s">
        <v>616</v>
      </c>
      <c r="U118" s="101" t="s">
        <v>124</v>
      </c>
      <c r="V118" s="101" t="n">
        <v>439.35</v>
      </c>
    </row>
    <row r="119" customFormat="false" ht="15" hidden="false" customHeight="true" outlineLevel="0" collapsed="false">
      <c r="A119" s="101" t="s">
        <v>985</v>
      </c>
      <c r="B119" s="101" t="s">
        <v>986</v>
      </c>
      <c r="C119" s="101" t="s">
        <v>987</v>
      </c>
      <c r="D119" s="101" t="s">
        <v>988</v>
      </c>
      <c r="E119" s="101" t="s">
        <v>507</v>
      </c>
      <c r="F119" s="101" t="s">
        <v>740</v>
      </c>
      <c r="G119" s="101" t="s">
        <v>560</v>
      </c>
      <c r="H119" s="101" t="s">
        <v>880</v>
      </c>
      <c r="I119" s="101" t="s">
        <v>881</v>
      </c>
      <c r="J119" s="101" t="s">
        <v>115</v>
      </c>
      <c r="K119" s="101" t="s">
        <v>116</v>
      </c>
      <c r="L119" s="101" t="s">
        <v>989</v>
      </c>
      <c r="M119" s="101" t="n">
        <v>203</v>
      </c>
      <c r="N119" s="101" t="n">
        <v>2.53</v>
      </c>
      <c r="O119" s="101" t="n">
        <v>9.095</v>
      </c>
      <c r="P119" s="101" t="s">
        <v>113</v>
      </c>
      <c r="Q119" s="101" t="s">
        <v>113</v>
      </c>
      <c r="R119" s="101" t="s">
        <v>124</v>
      </c>
      <c r="S119" s="101" t="n">
        <v>4</v>
      </c>
      <c r="T119" s="101" t="s">
        <v>479</v>
      </c>
      <c r="U119" s="101" t="s">
        <v>124</v>
      </c>
      <c r="V119" s="101" t="n">
        <v>138.4</v>
      </c>
    </row>
    <row r="120" customFormat="false" ht="15" hidden="false" customHeight="true" outlineLevel="0" collapsed="false">
      <c r="A120" s="101" t="s">
        <v>990</v>
      </c>
      <c r="B120" s="101" t="s">
        <v>991</v>
      </c>
      <c r="C120" s="101" t="s">
        <v>992</v>
      </c>
      <c r="D120" s="101" t="s">
        <v>993</v>
      </c>
      <c r="E120" s="101" t="s">
        <v>539</v>
      </c>
      <c r="F120" s="101" t="s">
        <v>501</v>
      </c>
      <c r="G120" s="101" t="s">
        <v>502</v>
      </c>
      <c r="H120" s="101" t="s">
        <v>476</v>
      </c>
      <c r="I120" s="101" t="s">
        <v>477</v>
      </c>
      <c r="J120" s="101" t="s">
        <v>111</v>
      </c>
      <c r="K120" s="101" t="s">
        <v>120</v>
      </c>
      <c r="L120" s="101" t="s">
        <v>994</v>
      </c>
      <c r="M120" s="101" t="n">
        <v>156</v>
      </c>
      <c r="N120" s="101" t="n">
        <v>26.7</v>
      </c>
      <c r="O120" s="101" t="n">
        <v>19.44</v>
      </c>
      <c r="P120" s="101" t="s">
        <v>113</v>
      </c>
      <c r="Q120" s="101" t="s">
        <v>113</v>
      </c>
      <c r="R120" s="101" t="s">
        <v>124</v>
      </c>
      <c r="S120" s="101" t="n">
        <v>5</v>
      </c>
      <c r="T120" s="101" t="s">
        <v>496</v>
      </c>
      <c r="U120" s="101" t="s">
        <v>124</v>
      </c>
      <c r="V120" s="101" t="n">
        <v>274.15</v>
      </c>
    </row>
    <row r="121" customFormat="false" ht="15" hidden="false" customHeight="true" outlineLevel="0" collapsed="false">
      <c r="A121" s="101" t="s">
        <v>995</v>
      </c>
      <c r="B121" s="101" t="s">
        <v>996</v>
      </c>
      <c r="C121" s="101" t="s">
        <v>662</v>
      </c>
      <c r="D121" s="101" t="s">
        <v>997</v>
      </c>
      <c r="E121" s="101" t="s">
        <v>500</v>
      </c>
      <c r="F121" s="101" t="s">
        <v>492</v>
      </c>
      <c r="G121" s="101" t="s">
        <v>475</v>
      </c>
      <c r="H121" s="101" t="s">
        <v>727</v>
      </c>
      <c r="I121" s="101" t="s">
        <v>645</v>
      </c>
      <c r="J121" s="101" t="s">
        <v>123</v>
      </c>
      <c r="K121" s="101" t="s">
        <v>116</v>
      </c>
      <c r="L121" s="101" t="s">
        <v>871</v>
      </c>
      <c r="M121" s="101" t="n">
        <v>4534</v>
      </c>
      <c r="N121" s="101" t="n">
        <v>6.29</v>
      </c>
      <c r="O121" s="101" t="n">
        <v>18.9</v>
      </c>
      <c r="P121" s="101" t="s">
        <v>113</v>
      </c>
      <c r="Q121" s="101" t="s">
        <v>113</v>
      </c>
      <c r="R121" s="101" t="s">
        <v>124</v>
      </c>
      <c r="S121" s="101" t="n">
        <v>5</v>
      </c>
      <c r="T121" s="101" t="s">
        <v>496</v>
      </c>
      <c r="U121" s="101" t="s">
        <v>124</v>
      </c>
      <c r="V121" s="101" t="n">
        <v>141.75</v>
      </c>
    </row>
    <row r="122" customFormat="false" ht="15" hidden="false" customHeight="true" outlineLevel="0" collapsed="false">
      <c r="A122" s="101" t="s">
        <v>998</v>
      </c>
      <c r="B122" s="101" t="s">
        <v>999</v>
      </c>
      <c r="C122" s="101" t="s">
        <v>1000</v>
      </c>
      <c r="D122" s="101" t="s">
        <v>538</v>
      </c>
      <c r="E122" s="101" t="s">
        <v>539</v>
      </c>
      <c r="F122" s="101" t="s">
        <v>474</v>
      </c>
      <c r="G122" s="101" t="s">
        <v>475</v>
      </c>
      <c r="H122" s="101" t="s">
        <v>540</v>
      </c>
      <c r="I122" s="101" t="s">
        <v>477</v>
      </c>
      <c r="J122" s="101" t="s">
        <v>123</v>
      </c>
      <c r="K122" s="101" t="s">
        <v>120</v>
      </c>
      <c r="L122" s="101" t="s">
        <v>907</v>
      </c>
      <c r="M122" s="101" t="n">
        <v>21048</v>
      </c>
      <c r="N122" s="101" t="n">
        <v>10.89</v>
      </c>
      <c r="O122" s="101" t="n">
        <v>14.8</v>
      </c>
      <c r="P122" s="101" t="s">
        <v>124</v>
      </c>
      <c r="Q122" s="101" t="s">
        <v>113</v>
      </c>
      <c r="R122" s="101" t="s">
        <v>124</v>
      </c>
      <c r="S122" s="101" t="n">
        <v>3</v>
      </c>
      <c r="T122" s="101" t="s">
        <v>487</v>
      </c>
      <c r="U122" s="101" t="s">
        <v>124</v>
      </c>
      <c r="V122" s="101" t="n">
        <v>111</v>
      </c>
    </row>
    <row r="123" customFormat="false" ht="15" hidden="false" customHeight="true" outlineLevel="0" collapsed="false">
      <c r="A123" s="101" t="s">
        <v>1001</v>
      </c>
      <c r="B123" s="101" t="s">
        <v>697</v>
      </c>
      <c r="C123" s="101" t="s">
        <v>698</v>
      </c>
      <c r="D123" s="101" t="s">
        <v>938</v>
      </c>
      <c r="E123" s="101" t="s">
        <v>491</v>
      </c>
      <c r="F123" s="101" t="s">
        <v>474</v>
      </c>
      <c r="G123" s="101" t="s">
        <v>475</v>
      </c>
      <c r="H123" s="101" t="s">
        <v>493</v>
      </c>
      <c r="I123" s="101" t="s">
        <v>494</v>
      </c>
      <c r="J123" s="101" t="s">
        <v>123</v>
      </c>
      <c r="K123" s="101" t="s">
        <v>116</v>
      </c>
      <c r="L123" s="101" t="s">
        <v>1002</v>
      </c>
      <c r="M123" s="101" t="n">
        <v>15181</v>
      </c>
      <c r="N123" s="101" t="n">
        <v>2.98</v>
      </c>
      <c r="O123" s="101" t="n">
        <v>48.365</v>
      </c>
      <c r="P123" s="101" t="s">
        <v>124</v>
      </c>
      <c r="Q123" s="101" t="s">
        <v>113</v>
      </c>
      <c r="R123" s="101" t="s">
        <v>124</v>
      </c>
      <c r="S123" s="101" t="n">
        <v>4</v>
      </c>
      <c r="T123" s="101" t="s">
        <v>479</v>
      </c>
      <c r="U123" s="101" t="s">
        <v>124</v>
      </c>
      <c r="V123" s="101" t="n">
        <v>362.74</v>
      </c>
    </row>
    <row r="124" customFormat="false" ht="15" hidden="false" customHeight="true" outlineLevel="0" collapsed="false">
      <c r="A124" s="101" t="s">
        <v>1003</v>
      </c>
      <c r="B124" s="101" t="s">
        <v>1004</v>
      </c>
      <c r="C124" s="101" t="s">
        <v>1005</v>
      </c>
      <c r="D124" s="101" t="s">
        <v>988</v>
      </c>
      <c r="E124" s="101" t="s">
        <v>507</v>
      </c>
      <c r="F124" s="101" t="s">
        <v>559</v>
      </c>
      <c r="G124" s="101" t="s">
        <v>560</v>
      </c>
      <c r="H124" s="101" t="s">
        <v>673</v>
      </c>
      <c r="I124" s="101" t="s">
        <v>645</v>
      </c>
      <c r="J124" s="101" t="s">
        <v>115</v>
      </c>
      <c r="K124" s="101" t="s">
        <v>116</v>
      </c>
      <c r="L124" s="101" t="s">
        <v>946</v>
      </c>
      <c r="M124" s="101" t="n">
        <v>98</v>
      </c>
      <c r="N124" s="101" t="n">
        <v>13.66</v>
      </c>
      <c r="O124" s="101" t="n">
        <v>5.6</v>
      </c>
      <c r="P124" s="101" t="s">
        <v>113</v>
      </c>
      <c r="Q124" s="101" t="s">
        <v>124</v>
      </c>
      <c r="R124" s="101" t="s">
        <v>113</v>
      </c>
      <c r="S124" s="101" t="n">
        <v>2</v>
      </c>
      <c r="T124" s="101" t="s">
        <v>616</v>
      </c>
      <c r="U124" s="101" t="s">
        <v>124</v>
      </c>
      <c r="V124" s="101" t="n">
        <v>85.22</v>
      </c>
    </row>
    <row r="125" customFormat="false" ht="15" hidden="false" customHeight="true" outlineLevel="0" collapsed="false">
      <c r="A125" s="101" t="s">
        <v>1006</v>
      </c>
      <c r="B125" s="101" t="s">
        <v>1007</v>
      </c>
      <c r="C125" s="101" t="s">
        <v>1008</v>
      </c>
      <c r="D125" s="101" t="s">
        <v>610</v>
      </c>
      <c r="E125" s="101" t="s">
        <v>473</v>
      </c>
      <c r="F125" s="101" t="s">
        <v>508</v>
      </c>
      <c r="G125" s="101" t="s">
        <v>475</v>
      </c>
      <c r="H125" s="101" t="s">
        <v>561</v>
      </c>
      <c r="I125" s="101" t="s">
        <v>345</v>
      </c>
      <c r="J125" s="101" t="s">
        <v>111</v>
      </c>
      <c r="K125" s="101" t="s">
        <v>116</v>
      </c>
      <c r="L125" s="101" t="s">
        <v>1002</v>
      </c>
      <c r="M125" s="101" t="n">
        <v>513</v>
      </c>
      <c r="N125" s="101" t="n">
        <v>1.07</v>
      </c>
      <c r="O125" s="101" t="n">
        <v>14.3</v>
      </c>
      <c r="P125" s="101" t="s">
        <v>113</v>
      </c>
      <c r="Q125" s="101" t="s">
        <v>113</v>
      </c>
      <c r="R125" s="101" t="s">
        <v>124</v>
      </c>
      <c r="S125" s="101" t="s">
        <v>486</v>
      </c>
      <c r="T125" s="101" t="s">
        <v>496</v>
      </c>
      <c r="U125" s="101" t="s">
        <v>124</v>
      </c>
      <c r="V125" s="101" t="n">
        <v>201.67</v>
      </c>
    </row>
    <row r="126" customFormat="false" ht="15" hidden="false" customHeight="true" outlineLevel="0" collapsed="false">
      <c r="A126" s="101" t="s">
        <v>1009</v>
      </c>
      <c r="B126" s="101" t="s">
        <v>1010</v>
      </c>
      <c r="C126" s="101" t="s">
        <v>1011</v>
      </c>
      <c r="D126" s="101" t="s">
        <v>1012</v>
      </c>
      <c r="E126" s="101" t="s">
        <v>491</v>
      </c>
      <c r="F126" s="101" t="s">
        <v>740</v>
      </c>
      <c r="G126" s="101" t="s">
        <v>560</v>
      </c>
      <c r="H126" s="101" t="s">
        <v>561</v>
      </c>
      <c r="I126" s="101" t="s">
        <v>345</v>
      </c>
      <c r="J126" s="101" t="s">
        <v>118</v>
      </c>
      <c r="K126" s="101" t="s">
        <v>199</v>
      </c>
      <c r="L126" s="101" t="s">
        <v>795</v>
      </c>
      <c r="M126" s="101" t="n">
        <v>53</v>
      </c>
      <c r="N126" s="101" t="n">
        <v>19.03</v>
      </c>
      <c r="O126" s="101" t="n">
        <v>8.2</v>
      </c>
      <c r="P126" s="101" t="s">
        <v>113</v>
      </c>
      <c r="Q126" s="101" t="s">
        <v>113</v>
      </c>
      <c r="R126" s="101" t="s">
        <v>124</v>
      </c>
      <c r="S126" s="101"/>
      <c r="T126" s="101" t="s">
        <v>496</v>
      </c>
      <c r="U126" s="101" t="s">
        <v>124</v>
      </c>
      <c r="V126" s="101" t="n">
        <v>141.84</v>
      </c>
    </row>
    <row r="127" customFormat="false" ht="15" hidden="false" customHeight="true" outlineLevel="0" collapsed="false">
      <c r="A127" s="101" t="s">
        <v>1013</v>
      </c>
      <c r="B127" s="101" t="s">
        <v>1014</v>
      </c>
      <c r="C127" s="101" t="s">
        <v>1015</v>
      </c>
      <c r="D127" s="101" t="s">
        <v>521</v>
      </c>
      <c r="E127" s="101" t="s">
        <v>473</v>
      </c>
      <c r="F127" s="101" t="s">
        <v>474</v>
      </c>
      <c r="G127" s="101" t="s">
        <v>475</v>
      </c>
      <c r="H127" s="101" t="s">
        <v>561</v>
      </c>
      <c r="I127" s="101" t="s">
        <v>345</v>
      </c>
      <c r="J127" s="101" t="s">
        <v>118</v>
      </c>
      <c r="K127" s="101" t="s">
        <v>120</v>
      </c>
      <c r="L127" s="101" t="s">
        <v>994</v>
      </c>
      <c r="M127" s="101" t="n">
        <v>98</v>
      </c>
      <c r="N127" s="101" t="n">
        <v>1.19</v>
      </c>
      <c r="O127" s="101" t="n">
        <v>19</v>
      </c>
      <c r="P127" s="101" t="s">
        <v>113</v>
      </c>
      <c r="Q127" s="101" t="s">
        <v>124</v>
      </c>
      <c r="R127" s="101" t="s">
        <v>113</v>
      </c>
      <c r="S127" s="101" t="s">
        <v>486</v>
      </c>
      <c r="T127" s="101" t="s">
        <v>487</v>
      </c>
      <c r="U127" s="101" t="s">
        <v>124</v>
      </c>
      <c r="V127" s="101" t="n">
        <v>328.65</v>
      </c>
    </row>
    <row r="128" customFormat="false" ht="15" hidden="false" customHeight="true" outlineLevel="0" collapsed="false">
      <c r="A128" s="101" t="s">
        <v>1016</v>
      </c>
      <c r="B128" s="101" t="s">
        <v>1017</v>
      </c>
      <c r="C128" s="101" t="s">
        <v>1018</v>
      </c>
      <c r="D128" s="101" t="s">
        <v>1019</v>
      </c>
      <c r="E128" s="101" t="s">
        <v>473</v>
      </c>
      <c r="F128" s="101" t="s">
        <v>474</v>
      </c>
      <c r="G128" s="101" t="s">
        <v>475</v>
      </c>
      <c r="H128" s="101" t="s">
        <v>476</v>
      </c>
      <c r="I128" s="101" t="s">
        <v>477</v>
      </c>
      <c r="J128" s="101" t="s">
        <v>118</v>
      </c>
      <c r="K128" s="101" t="s">
        <v>116</v>
      </c>
      <c r="L128" s="101" t="s">
        <v>808</v>
      </c>
      <c r="M128" s="101" t="n">
        <v>27</v>
      </c>
      <c r="N128" s="101" t="n">
        <v>5.86</v>
      </c>
      <c r="O128" s="101" t="n">
        <v>17.28</v>
      </c>
      <c r="P128" s="101" t="s">
        <v>113</v>
      </c>
      <c r="Q128" s="101" t="s">
        <v>113</v>
      </c>
      <c r="R128" s="101" t="s">
        <v>124</v>
      </c>
      <c r="S128" s="101" t="s">
        <v>486</v>
      </c>
      <c r="T128" s="101" t="s">
        <v>479</v>
      </c>
      <c r="U128" s="101" t="s">
        <v>124</v>
      </c>
      <c r="V128" s="101" t="n">
        <v>298.9</v>
      </c>
    </row>
    <row r="129" customFormat="false" ht="15" hidden="false" customHeight="true" outlineLevel="0" collapsed="false">
      <c r="A129" s="101" t="s">
        <v>1020</v>
      </c>
      <c r="B129" s="101" t="s">
        <v>1021</v>
      </c>
      <c r="C129" s="101" t="s">
        <v>869</v>
      </c>
      <c r="D129" s="101" t="s">
        <v>1022</v>
      </c>
      <c r="E129" s="101" t="s">
        <v>507</v>
      </c>
      <c r="F129" s="101" t="s">
        <v>492</v>
      </c>
      <c r="G129" s="101" t="s">
        <v>475</v>
      </c>
      <c r="H129" s="101" t="s">
        <v>476</v>
      </c>
      <c r="I129" s="101" t="s">
        <v>477</v>
      </c>
      <c r="J129" s="101" t="s">
        <v>123</v>
      </c>
      <c r="K129" s="101" t="s">
        <v>116</v>
      </c>
      <c r="L129" s="101" t="s">
        <v>808</v>
      </c>
      <c r="M129" s="101" t="n">
        <v>2520</v>
      </c>
      <c r="N129" s="101" t="n">
        <v>50.47</v>
      </c>
      <c r="O129" s="101" t="n">
        <v>84.375</v>
      </c>
      <c r="P129" s="101" t="s">
        <v>113</v>
      </c>
      <c r="Q129" s="101" t="s">
        <v>113</v>
      </c>
      <c r="R129" s="101" t="s">
        <v>124</v>
      </c>
      <c r="S129" s="101" t="n">
        <v>5</v>
      </c>
      <c r="T129" s="101" t="s">
        <v>496</v>
      </c>
      <c r="U129" s="101" t="s">
        <v>124</v>
      </c>
      <c r="V129" s="101" t="n">
        <v>632.81</v>
      </c>
    </row>
    <row r="130" customFormat="false" ht="15" hidden="false" customHeight="true" outlineLevel="0" collapsed="false">
      <c r="A130" s="101" t="s">
        <v>1023</v>
      </c>
      <c r="B130" s="101" t="s">
        <v>1024</v>
      </c>
      <c r="C130" s="101" t="s">
        <v>1025</v>
      </c>
      <c r="D130" s="102" t="n">
        <v>45879.7402777778</v>
      </c>
      <c r="E130" s="101" t="s">
        <v>539</v>
      </c>
      <c r="F130" s="101" t="s">
        <v>508</v>
      </c>
      <c r="G130" s="101" t="s">
        <v>475</v>
      </c>
      <c r="H130" s="101" t="s">
        <v>673</v>
      </c>
      <c r="I130" s="101" t="s">
        <v>645</v>
      </c>
      <c r="J130" s="101" t="s">
        <v>115</v>
      </c>
      <c r="K130" s="101" t="s">
        <v>194</v>
      </c>
      <c r="L130" s="101" t="s">
        <v>1026</v>
      </c>
      <c r="M130" s="101" t="n">
        <v>284</v>
      </c>
      <c r="N130" s="101" t="n">
        <v>1.19</v>
      </c>
      <c r="O130" s="101" t="n">
        <v>10.2</v>
      </c>
      <c r="P130" s="101" t="s">
        <v>113</v>
      </c>
      <c r="Q130" s="101" t="s">
        <v>113</v>
      </c>
      <c r="R130" s="101" t="s">
        <v>124</v>
      </c>
      <c r="S130" s="101"/>
      <c r="T130" s="101" t="s">
        <v>487</v>
      </c>
      <c r="U130" s="101" t="s">
        <v>124</v>
      </c>
      <c r="V130" s="101" t="n">
        <v>155.22</v>
      </c>
    </row>
    <row r="131" customFormat="false" ht="15" hidden="false" customHeight="true" outlineLevel="0" collapsed="false">
      <c r="A131" s="101" t="s">
        <v>1027</v>
      </c>
      <c r="B131" s="101" t="s">
        <v>1028</v>
      </c>
      <c r="C131" s="101" t="s">
        <v>613</v>
      </c>
      <c r="D131" s="101" t="s">
        <v>565</v>
      </c>
      <c r="E131" s="101" t="s">
        <v>473</v>
      </c>
      <c r="F131" s="101" t="s">
        <v>474</v>
      </c>
      <c r="G131" s="101" t="s">
        <v>475</v>
      </c>
      <c r="H131" s="101" t="s">
        <v>727</v>
      </c>
      <c r="I131" s="101" t="s">
        <v>645</v>
      </c>
      <c r="J131" s="101" t="s">
        <v>115</v>
      </c>
      <c r="K131" s="101" t="s">
        <v>194</v>
      </c>
      <c r="L131" s="101" t="s">
        <v>1029</v>
      </c>
      <c r="M131" s="101" t="n">
        <v>69</v>
      </c>
      <c r="N131" s="101" t="n">
        <v>0.95</v>
      </c>
      <c r="O131" s="101" t="n">
        <v>9.9</v>
      </c>
      <c r="P131" s="101" t="s">
        <v>113</v>
      </c>
      <c r="Q131" s="101" t="s">
        <v>113</v>
      </c>
      <c r="R131" s="101" t="s">
        <v>124</v>
      </c>
      <c r="S131" s="101" t="n">
        <v>4</v>
      </c>
      <c r="T131" s="101" t="s">
        <v>479</v>
      </c>
      <c r="U131" s="101" t="s">
        <v>124</v>
      </c>
      <c r="V131" s="101" t="n">
        <v>150.65</v>
      </c>
    </row>
    <row r="132" customFormat="false" ht="15" hidden="false" customHeight="true" outlineLevel="0" collapsed="false">
      <c r="A132" s="101" t="s">
        <v>1030</v>
      </c>
      <c r="B132" s="101" t="s">
        <v>1031</v>
      </c>
      <c r="C132" s="101" t="s">
        <v>1032</v>
      </c>
      <c r="D132" s="101" t="s">
        <v>499</v>
      </c>
      <c r="E132" s="101" t="s">
        <v>500</v>
      </c>
      <c r="F132" s="101" t="s">
        <v>566</v>
      </c>
      <c r="G132" s="101" t="s">
        <v>546</v>
      </c>
      <c r="H132" s="101" t="s">
        <v>644</v>
      </c>
      <c r="I132" s="101" t="s">
        <v>645</v>
      </c>
      <c r="J132" s="101" t="s">
        <v>118</v>
      </c>
      <c r="K132" s="101" t="s">
        <v>112</v>
      </c>
      <c r="L132" s="101" t="s">
        <v>757</v>
      </c>
      <c r="M132" s="101" t="n">
        <v>25</v>
      </c>
      <c r="N132" s="101" t="n">
        <v>0.73</v>
      </c>
      <c r="O132" s="101" t="n">
        <v>31.185</v>
      </c>
      <c r="P132" s="101" t="s">
        <v>113</v>
      </c>
      <c r="Q132" s="101" t="s">
        <v>124</v>
      </c>
      <c r="R132" s="101" t="s">
        <v>113</v>
      </c>
      <c r="S132" s="101"/>
      <c r="T132" s="101" t="s">
        <v>487</v>
      </c>
      <c r="U132" s="101" t="s">
        <v>124</v>
      </c>
      <c r="V132" s="101" t="n">
        <v>539.42</v>
      </c>
    </row>
    <row r="133" customFormat="false" ht="15" hidden="false" customHeight="true" outlineLevel="0" collapsed="false">
      <c r="A133" s="101" t="s">
        <v>1033</v>
      </c>
      <c r="B133" s="101" t="s">
        <v>1034</v>
      </c>
      <c r="C133" s="101" t="s">
        <v>1035</v>
      </c>
      <c r="D133" s="101" t="s">
        <v>789</v>
      </c>
      <c r="E133" s="101" t="s">
        <v>483</v>
      </c>
      <c r="F133" s="101" t="s">
        <v>530</v>
      </c>
      <c r="G133" s="101" t="s">
        <v>516</v>
      </c>
      <c r="H133" s="101" t="s">
        <v>561</v>
      </c>
      <c r="I133" s="101" t="s">
        <v>345</v>
      </c>
      <c r="J133" s="101" t="s">
        <v>118</v>
      </c>
      <c r="K133" s="101" t="s">
        <v>199</v>
      </c>
      <c r="L133" s="101" t="s">
        <v>1036</v>
      </c>
      <c r="M133" s="101" t="n">
        <v>113</v>
      </c>
      <c r="N133" s="101" t="n">
        <v>0.65</v>
      </c>
      <c r="O133" s="101" t="n">
        <v>28.2</v>
      </c>
      <c r="P133" s="101" t="s">
        <v>113</v>
      </c>
      <c r="Q133" s="101" t="s">
        <v>113</v>
      </c>
      <c r="R133" s="101" t="s">
        <v>124</v>
      </c>
      <c r="S133" s="101" t="n">
        <v>4</v>
      </c>
      <c r="T133" s="101" t="s">
        <v>479</v>
      </c>
      <c r="U133" s="101" t="s">
        <v>124</v>
      </c>
      <c r="V133" s="101" t="n">
        <v>487.78</v>
      </c>
    </row>
    <row r="134" customFormat="false" ht="15" hidden="false" customHeight="true" outlineLevel="0" collapsed="false">
      <c r="A134" s="101" t="s">
        <v>1037</v>
      </c>
      <c r="B134" s="101" t="s">
        <v>1038</v>
      </c>
      <c r="C134" s="101" t="s">
        <v>1039</v>
      </c>
      <c r="D134" s="101" t="s">
        <v>803</v>
      </c>
      <c r="E134" s="101" t="s">
        <v>539</v>
      </c>
      <c r="F134" s="101" t="s">
        <v>515</v>
      </c>
      <c r="G134" s="101" t="s">
        <v>516</v>
      </c>
      <c r="H134" s="101" t="s">
        <v>880</v>
      </c>
      <c r="I134" s="101" t="s">
        <v>881</v>
      </c>
      <c r="J134" s="101" t="s">
        <v>115</v>
      </c>
      <c r="K134" s="101" t="s">
        <v>112</v>
      </c>
      <c r="L134" s="101" t="s">
        <v>829</v>
      </c>
      <c r="M134" s="101" t="n">
        <v>44</v>
      </c>
      <c r="N134" s="101" t="n">
        <v>2.78</v>
      </c>
      <c r="O134" s="101" t="n">
        <v>7.31</v>
      </c>
      <c r="P134" s="101" t="s">
        <v>113</v>
      </c>
      <c r="Q134" s="101" t="s">
        <v>124</v>
      </c>
      <c r="R134" s="101" t="s">
        <v>124</v>
      </c>
      <c r="S134" s="101" t="n">
        <v>3</v>
      </c>
      <c r="T134" s="101" t="s">
        <v>487</v>
      </c>
      <c r="U134" s="101" t="s">
        <v>124</v>
      </c>
      <c r="V134" s="101" t="n">
        <v>111.24</v>
      </c>
    </row>
    <row r="135" customFormat="false" ht="15" hidden="false" customHeight="true" outlineLevel="0" collapsed="false">
      <c r="A135" s="101" t="s">
        <v>1040</v>
      </c>
      <c r="B135" s="101" t="s">
        <v>1041</v>
      </c>
      <c r="C135" s="101" t="s">
        <v>1042</v>
      </c>
      <c r="D135" s="101" t="s">
        <v>1043</v>
      </c>
      <c r="E135" s="101" t="s">
        <v>483</v>
      </c>
      <c r="F135" s="101" t="s">
        <v>508</v>
      </c>
      <c r="G135" s="101" t="s">
        <v>475</v>
      </c>
      <c r="H135" s="101" t="s">
        <v>493</v>
      </c>
      <c r="I135" s="101" t="s">
        <v>494</v>
      </c>
      <c r="J135" s="101" t="s">
        <v>123</v>
      </c>
      <c r="K135" s="101" t="s">
        <v>112</v>
      </c>
      <c r="L135" s="101" t="s">
        <v>1044</v>
      </c>
      <c r="M135" s="101" t="n">
        <v>23910</v>
      </c>
      <c r="N135" s="101" t="n">
        <v>3.77</v>
      </c>
      <c r="O135" s="101" t="n">
        <v>16.83</v>
      </c>
      <c r="P135" s="101" t="s">
        <v>124</v>
      </c>
      <c r="Q135" s="101" t="s">
        <v>113</v>
      </c>
      <c r="R135" s="101" t="s">
        <v>124</v>
      </c>
      <c r="S135" s="101" t="s">
        <v>486</v>
      </c>
      <c r="T135" s="101" t="s">
        <v>479</v>
      </c>
      <c r="U135" s="101" t="s">
        <v>124</v>
      </c>
      <c r="V135" s="101" t="n">
        <v>126.23</v>
      </c>
    </row>
    <row r="136" customFormat="false" ht="15" hidden="false" customHeight="true" outlineLevel="0" collapsed="false">
      <c r="A136" s="101" t="s">
        <v>1045</v>
      </c>
      <c r="B136" s="101" t="s">
        <v>1046</v>
      </c>
      <c r="C136" s="101" t="s">
        <v>1047</v>
      </c>
      <c r="D136" s="102" t="n">
        <v>45895.6069444444</v>
      </c>
      <c r="E136" s="101" t="s">
        <v>507</v>
      </c>
      <c r="F136" s="101" t="s">
        <v>492</v>
      </c>
      <c r="G136" s="101" t="s">
        <v>475</v>
      </c>
      <c r="H136" s="101" t="s">
        <v>561</v>
      </c>
      <c r="I136" s="101" t="s">
        <v>345</v>
      </c>
      <c r="J136" s="101" t="s">
        <v>111</v>
      </c>
      <c r="K136" s="101" t="s">
        <v>120</v>
      </c>
      <c r="L136" s="101" t="s">
        <v>1048</v>
      </c>
      <c r="M136" s="101" t="n">
        <v>407</v>
      </c>
      <c r="N136" s="101" t="n">
        <v>6.95</v>
      </c>
      <c r="O136" s="101" t="n">
        <v>13.2</v>
      </c>
      <c r="P136" s="101" t="s">
        <v>113</v>
      </c>
      <c r="Q136" s="101" t="s">
        <v>124</v>
      </c>
      <c r="R136" s="101" t="s">
        <v>113</v>
      </c>
      <c r="S136" s="101"/>
      <c r="T136" s="101" t="s">
        <v>487</v>
      </c>
      <c r="U136" s="101" t="s">
        <v>124</v>
      </c>
      <c r="V136" s="101" t="n">
        <v>186.15</v>
      </c>
    </row>
    <row r="137" customFormat="false" ht="15" hidden="false" customHeight="true" outlineLevel="0" collapsed="false">
      <c r="A137" s="101" t="s">
        <v>1049</v>
      </c>
      <c r="B137" s="101" t="s">
        <v>1050</v>
      </c>
      <c r="C137" s="101" t="s">
        <v>1051</v>
      </c>
      <c r="D137" s="102" t="n">
        <v>45887.4520833333</v>
      </c>
      <c r="E137" s="101" t="s">
        <v>491</v>
      </c>
      <c r="F137" s="101" t="s">
        <v>559</v>
      </c>
      <c r="G137" s="101" t="s">
        <v>560</v>
      </c>
      <c r="H137" s="101" t="s">
        <v>509</v>
      </c>
      <c r="I137" s="101" t="s">
        <v>345</v>
      </c>
      <c r="J137" s="101" t="s">
        <v>118</v>
      </c>
      <c r="K137" s="101" t="s">
        <v>120</v>
      </c>
      <c r="L137" s="101" t="s">
        <v>812</v>
      </c>
      <c r="M137" s="101" t="n">
        <v>99</v>
      </c>
      <c r="N137" s="101" t="n">
        <v>2.64</v>
      </c>
      <c r="O137" s="101" t="n">
        <v>24.8</v>
      </c>
      <c r="P137" s="101" t="s">
        <v>113</v>
      </c>
      <c r="Q137" s="101" t="s">
        <v>113</v>
      </c>
      <c r="R137" s="101" t="s">
        <v>124</v>
      </c>
      <c r="S137" s="101" t="s">
        <v>486</v>
      </c>
      <c r="T137" s="101" t="s">
        <v>479</v>
      </c>
      <c r="U137" s="101" t="s">
        <v>124</v>
      </c>
      <c r="V137" s="101" t="n">
        <v>428.97</v>
      </c>
    </row>
    <row r="138" customFormat="false" ht="15" hidden="false" customHeight="true" outlineLevel="0" collapsed="false">
      <c r="A138" s="101" t="s">
        <v>1052</v>
      </c>
      <c r="B138" s="101" t="s">
        <v>1053</v>
      </c>
      <c r="C138" s="101" t="s">
        <v>1054</v>
      </c>
      <c r="D138" s="101" t="s">
        <v>1055</v>
      </c>
      <c r="E138" s="101" t="s">
        <v>514</v>
      </c>
      <c r="F138" s="101" t="s">
        <v>545</v>
      </c>
      <c r="G138" s="101" t="s">
        <v>546</v>
      </c>
      <c r="H138" s="101" t="s">
        <v>517</v>
      </c>
      <c r="I138" s="101" t="s">
        <v>345</v>
      </c>
      <c r="J138" s="101" t="s">
        <v>111</v>
      </c>
      <c r="K138" s="101" t="s">
        <v>199</v>
      </c>
      <c r="L138" s="101" t="s">
        <v>923</v>
      </c>
      <c r="M138" s="101" t="n">
        <v>170</v>
      </c>
      <c r="N138" s="101" t="n">
        <v>1.42</v>
      </c>
      <c r="O138" s="101" t="n">
        <v>7.3</v>
      </c>
      <c r="P138" s="101" t="s">
        <v>113</v>
      </c>
      <c r="Q138" s="101" t="s">
        <v>113</v>
      </c>
      <c r="R138" s="101" t="s">
        <v>124</v>
      </c>
      <c r="S138" s="101"/>
      <c r="T138" s="101" t="s">
        <v>479</v>
      </c>
      <c r="U138" s="101" t="s">
        <v>124</v>
      </c>
      <c r="V138" s="101" t="n">
        <v>102.95</v>
      </c>
    </row>
    <row r="139" customFormat="false" ht="15" hidden="false" customHeight="true" outlineLevel="0" collapsed="false">
      <c r="A139" s="101" t="s">
        <v>1056</v>
      </c>
      <c r="B139" s="101" t="s">
        <v>1057</v>
      </c>
      <c r="C139" s="101" t="s">
        <v>1058</v>
      </c>
      <c r="D139" s="101" t="s">
        <v>1059</v>
      </c>
      <c r="E139" s="101" t="s">
        <v>473</v>
      </c>
      <c r="F139" s="101" t="s">
        <v>474</v>
      </c>
      <c r="G139" s="101" t="s">
        <v>475</v>
      </c>
      <c r="H139" s="101" t="s">
        <v>493</v>
      </c>
      <c r="I139" s="101" t="s">
        <v>494</v>
      </c>
      <c r="J139" s="101" t="s">
        <v>133</v>
      </c>
      <c r="K139" s="101"/>
      <c r="L139" s="101" t="s">
        <v>547</v>
      </c>
      <c r="M139" s="101" t="n">
        <v>18</v>
      </c>
      <c r="N139" s="101" t="n">
        <v>1.56</v>
      </c>
      <c r="O139" s="101" t="n">
        <v>1.445</v>
      </c>
      <c r="P139" s="101" t="s">
        <v>113</v>
      </c>
      <c r="Q139" s="101" t="s">
        <v>113</v>
      </c>
      <c r="R139" s="101" t="s">
        <v>124</v>
      </c>
      <c r="S139" s="101"/>
      <c r="T139" s="101" t="s">
        <v>479</v>
      </c>
      <c r="U139" s="101" t="s">
        <v>124</v>
      </c>
      <c r="V139" s="101" t="n">
        <v>6.94</v>
      </c>
    </row>
    <row r="140" customFormat="false" ht="15" hidden="false" customHeight="true" outlineLevel="0" collapsed="false">
      <c r="A140" s="101" t="s">
        <v>1060</v>
      </c>
      <c r="B140" s="101" t="s">
        <v>1061</v>
      </c>
      <c r="C140" s="101" t="s">
        <v>1062</v>
      </c>
      <c r="D140" s="101" t="s">
        <v>862</v>
      </c>
      <c r="E140" s="101" t="s">
        <v>491</v>
      </c>
      <c r="F140" s="101" t="s">
        <v>515</v>
      </c>
      <c r="G140" s="101" t="s">
        <v>516</v>
      </c>
      <c r="H140" s="101" t="s">
        <v>484</v>
      </c>
      <c r="I140" s="101" t="s">
        <v>345</v>
      </c>
      <c r="J140" s="101" t="s">
        <v>133</v>
      </c>
      <c r="K140" s="101"/>
      <c r="L140" s="101" t="s">
        <v>547</v>
      </c>
      <c r="M140" s="101" t="n">
        <v>12</v>
      </c>
      <c r="N140" s="101" t="n">
        <v>3.68</v>
      </c>
      <c r="O140" s="101" t="n">
        <v>0.945</v>
      </c>
      <c r="P140" s="101" t="s">
        <v>113</v>
      </c>
      <c r="Q140" s="101" t="s">
        <v>113</v>
      </c>
      <c r="R140" s="101" t="s">
        <v>124</v>
      </c>
      <c r="S140" s="101" t="n">
        <v>3</v>
      </c>
      <c r="T140" s="101" t="s">
        <v>487</v>
      </c>
      <c r="U140" s="101" t="s">
        <v>124</v>
      </c>
      <c r="V140" s="101" t="n">
        <v>4.54</v>
      </c>
    </row>
    <row r="141" customFormat="false" ht="15" hidden="false" customHeight="true" outlineLevel="0" collapsed="false">
      <c r="A141" s="101" t="s">
        <v>1063</v>
      </c>
      <c r="B141" s="101" t="s">
        <v>1064</v>
      </c>
      <c r="C141" s="101" t="s">
        <v>1065</v>
      </c>
      <c r="D141" s="101" t="s">
        <v>1066</v>
      </c>
      <c r="E141" s="101" t="s">
        <v>539</v>
      </c>
      <c r="F141" s="101" t="s">
        <v>515</v>
      </c>
      <c r="G141" s="101" t="s">
        <v>516</v>
      </c>
      <c r="H141" s="101" t="s">
        <v>561</v>
      </c>
      <c r="I141" s="101" t="s">
        <v>345</v>
      </c>
      <c r="J141" s="101" t="s">
        <v>123</v>
      </c>
      <c r="K141" s="101" t="s">
        <v>199</v>
      </c>
      <c r="L141" s="101" t="s">
        <v>606</v>
      </c>
      <c r="M141" s="101" t="n">
        <v>18227</v>
      </c>
      <c r="N141" s="101" t="n">
        <v>1.01</v>
      </c>
      <c r="O141" s="101" t="n">
        <v>19.5</v>
      </c>
      <c r="P141" s="101" t="s">
        <v>124</v>
      </c>
      <c r="Q141" s="101" t="s">
        <v>113</v>
      </c>
      <c r="R141" s="101" t="s">
        <v>124</v>
      </c>
      <c r="S141" s="101"/>
      <c r="T141" s="101" t="s">
        <v>479</v>
      </c>
      <c r="U141" s="101" t="s">
        <v>124</v>
      </c>
      <c r="V141" s="101" t="n">
        <v>146.25</v>
      </c>
    </row>
    <row r="142" customFormat="false" ht="15" hidden="false" customHeight="true" outlineLevel="0" collapsed="false">
      <c r="A142" s="101" t="s">
        <v>1067</v>
      </c>
      <c r="B142" s="101" t="s">
        <v>1068</v>
      </c>
      <c r="C142" s="101" t="s">
        <v>1069</v>
      </c>
      <c r="D142" s="101" t="s">
        <v>1070</v>
      </c>
      <c r="E142" s="101" t="s">
        <v>507</v>
      </c>
      <c r="F142" s="101" t="s">
        <v>474</v>
      </c>
      <c r="G142" s="101" t="s">
        <v>475</v>
      </c>
      <c r="H142" s="101" t="s">
        <v>727</v>
      </c>
      <c r="I142" s="101" t="s">
        <v>645</v>
      </c>
      <c r="J142" s="101" t="s">
        <v>115</v>
      </c>
      <c r="K142" s="101" t="s">
        <v>112</v>
      </c>
      <c r="L142" s="101" t="s">
        <v>1071</v>
      </c>
      <c r="M142" s="101" t="n">
        <v>110</v>
      </c>
      <c r="N142" s="101" t="n">
        <v>0.3</v>
      </c>
      <c r="O142" s="101" t="n">
        <v>15.8</v>
      </c>
      <c r="P142" s="101" t="s">
        <v>113</v>
      </c>
      <c r="Q142" s="101" t="s">
        <v>124</v>
      </c>
      <c r="R142" s="101" t="s">
        <v>124</v>
      </c>
      <c r="S142" s="101" t="n">
        <v>2</v>
      </c>
      <c r="T142" s="101" t="s">
        <v>616</v>
      </c>
      <c r="U142" s="101" t="s">
        <v>124</v>
      </c>
      <c r="V142" s="101" t="n">
        <v>240.43</v>
      </c>
    </row>
    <row r="143" customFormat="false" ht="15" hidden="false" customHeight="true" outlineLevel="0" collapsed="false">
      <c r="A143" s="101" t="s">
        <v>1072</v>
      </c>
      <c r="B143" s="101" t="s">
        <v>1073</v>
      </c>
      <c r="C143" s="101" t="s">
        <v>600</v>
      </c>
      <c r="D143" s="101" t="s">
        <v>1074</v>
      </c>
      <c r="E143" s="101" t="s">
        <v>514</v>
      </c>
      <c r="F143" s="101" t="s">
        <v>508</v>
      </c>
      <c r="G143" s="101" t="s">
        <v>475</v>
      </c>
      <c r="H143" s="101" t="s">
        <v>484</v>
      </c>
      <c r="I143" s="101" t="s">
        <v>345</v>
      </c>
      <c r="J143" s="101" t="s">
        <v>111</v>
      </c>
      <c r="K143" s="101" t="s">
        <v>116</v>
      </c>
      <c r="L143" s="101" t="s">
        <v>1075</v>
      </c>
      <c r="M143" s="101" t="n">
        <v>201</v>
      </c>
      <c r="N143" s="101" t="n">
        <v>27.8</v>
      </c>
      <c r="O143" s="101" t="n">
        <v>4.455</v>
      </c>
      <c r="P143" s="101" t="s">
        <v>113</v>
      </c>
      <c r="Q143" s="101" t="s">
        <v>113</v>
      </c>
      <c r="R143" s="101" t="s">
        <v>124</v>
      </c>
      <c r="S143" s="101" t="s">
        <v>486</v>
      </c>
      <c r="T143" s="101" t="s">
        <v>479</v>
      </c>
      <c r="U143" s="101" t="s">
        <v>124</v>
      </c>
      <c r="V143" s="101" t="n">
        <v>62.83</v>
      </c>
    </row>
    <row r="144" customFormat="false" ht="15" hidden="false" customHeight="true" outlineLevel="0" collapsed="false">
      <c r="A144" s="101" t="s">
        <v>1076</v>
      </c>
      <c r="B144" s="101" t="s">
        <v>1077</v>
      </c>
      <c r="C144" s="101" t="s">
        <v>1078</v>
      </c>
      <c r="D144" s="101" t="s">
        <v>1079</v>
      </c>
      <c r="E144" s="101" t="s">
        <v>507</v>
      </c>
      <c r="F144" s="101" t="s">
        <v>508</v>
      </c>
      <c r="G144" s="101" t="s">
        <v>475</v>
      </c>
      <c r="H144" s="101" t="s">
        <v>484</v>
      </c>
      <c r="I144" s="101" t="s">
        <v>345</v>
      </c>
      <c r="J144" s="101" t="s">
        <v>123</v>
      </c>
      <c r="K144" s="101" t="s">
        <v>116</v>
      </c>
      <c r="L144" s="101" t="s">
        <v>808</v>
      </c>
      <c r="M144" s="101" t="n">
        <v>13627</v>
      </c>
      <c r="N144" s="101" t="n">
        <v>2.87</v>
      </c>
      <c r="O144" s="101" t="n">
        <v>12.825</v>
      </c>
      <c r="P144" s="101" t="s">
        <v>113</v>
      </c>
      <c r="Q144" s="101" t="s">
        <v>124</v>
      </c>
      <c r="R144" s="101" t="s">
        <v>113</v>
      </c>
      <c r="S144" s="101" t="n">
        <v>3</v>
      </c>
      <c r="T144" s="101" t="s">
        <v>487</v>
      </c>
      <c r="U144" s="101" t="s">
        <v>124</v>
      </c>
      <c r="V144" s="101" t="n">
        <v>96.19</v>
      </c>
    </row>
    <row r="145" customFormat="false" ht="15" hidden="false" customHeight="true" outlineLevel="0" collapsed="false">
      <c r="A145" s="101" t="s">
        <v>1080</v>
      </c>
      <c r="B145" s="101" t="s">
        <v>1081</v>
      </c>
      <c r="C145" s="101" t="s">
        <v>1082</v>
      </c>
      <c r="D145" s="101" t="s">
        <v>1083</v>
      </c>
      <c r="E145" s="101" t="s">
        <v>491</v>
      </c>
      <c r="F145" s="101" t="s">
        <v>474</v>
      </c>
      <c r="G145" s="101" t="s">
        <v>475</v>
      </c>
      <c r="H145" s="101" t="s">
        <v>561</v>
      </c>
      <c r="I145" s="101" t="s">
        <v>345</v>
      </c>
      <c r="J145" s="101" t="s">
        <v>133</v>
      </c>
      <c r="K145" s="101"/>
      <c r="L145" s="101" t="s">
        <v>547</v>
      </c>
      <c r="M145" s="101" t="n">
        <v>9</v>
      </c>
      <c r="N145" s="101" t="n">
        <v>5.4</v>
      </c>
      <c r="O145" s="101" t="n">
        <v>3.1</v>
      </c>
      <c r="P145" s="101" t="s">
        <v>113</v>
      </c>
      <c r="Q145" s="101" t="s">
        <v>113</v>
      </c>
      <c r="R145" s="101" t="s">
        <v>124</v>
      </c>
      <c r="S145" s="101" t="n">
        <v>4</v>
      </c>
      <c r="T145" s="101" t="s">
        <v>479</v>
      </c>
      <c r="U145" s="101" t="s">
        <v>124</v>
      </c>
      <c r="V145" s="101" t="n">
        <v>14.88</v>
      </c>
    </row>
    <row r="146" customFormat="false" ht="15" hidden="false" customHeight="true" outlineLevel="0" collapsed="false">
      <c r="A146" s="101" t="s">
        <v>1084</v>
      </c>
      <c r="B146" s="101" t="s">
        <v>1085</v>
      </c>
      <c r="C146" s="101" t="s">
        <v>1086</v>
      </c>
      <c r="D146" s="101" t="s">
        <v>1087</v>
      </c>
      <c r="E146" s="101" t="s">
        <v>491</v>
      </c>
      <c r="F146" s="101" t="s">
        <v>559</v>
      </c>
      <c r="G146" s="101" t="s">
        <v>560</v>
      </c>
      <c r="H146" s="101" t="s">
        <v>673</v>
      </c>
      <c r="I146" s="101" t="s">
        <v>645</v>
      </c>
      <c r="J146" s="101" t="s">
        <v>115</v>
      </c>
      <c r="K146" s="101" t="s">
        <v>116</v>
      </c>
      <c r="L146" s="101" t="s">
        <v>842</v>
      </c>
      <c r="M146" s="101" t="n">
        <v>194</v>
      </c>
      <c r="N146" s="101" t="n">
        <v>0.88</v>
      </c>
      <c r="O146" s="101" t="n">
        <v>5.9</v>
      </c>
      <c r="P146" s="101" t="s">
        <v>113</v>
      </c>
      <c r="Q146" s="101" t="s">
        <v>124</v>
      </c>
      <c r="R146" s="101" t="s">
        <v>124</v>
      </c>
      <c r="S146" s="101" t="s">
        <v>486</v>
      </c>
      <c r="T146" s="101" t="s">
        <v>496</v>
      </c>
      <c r="U146" s="101" t="s">
        <v>124</v>
      </c>
      <c r="V146" s="101" t="n">
        <v>89.78</v>
      </c>
    </row>
    <row r="147" customFormat="false" ht="15" hidden="false" customHeight="true" outlineLevel="0" collapsed="false">
      <c r="A147" s="101" t="s">
        <v>1088</v>
      </c>
      <c r="B147" s="101" t="s">
        <v>1089</v>
      </c>
      <c r="C147" s="101" t="s">
        <v>1090</v>
      </c>
      <c r="D147" s="101" t="s">
        <v>1091</v>
      </c>
      <c r="E147" s="101" t="s">
        <v>539</v>
      </c>
      <c r="F147" s="101" t="s">
        <v>530</v>
      </c>
      <c r="G147" s="101" t="s">
        <v>516</v>
      </c>
      <c r="H147" s="101" t="s">
        <v>517</v>
      </c>
      <c r="I147" s="101" t="s">
        <v>345</v>
      </c>
      <c r="J147" s="101" t="s">
        <v>115</v>
      </c>
      <c r="K147" s="101" t="s">
        <v>120</v>
      </c>
      <c r="L147" s="101" t="s">
        <v>1092</v>
      </c>
      <c r="M147" s="101" t="n">
        <v>166</v>
      </c>
      <c r="N147" s="101" t="n">
        <v>1.02</v>
      </c>
      <c r="O147" s="101" t="n">
        <v>4.7</v>
      </c>
      <c r="P147" s="101" t="s">
        <v>113</v>
      </c>
      <c r="Q147" s="101" t="s">
        <v>113</v>
      </c>
      <c r="R147" s="101" t="s">
        <v>124</v>
      </c>
      <c r="S147" s="101"/>
      <c r="T147" s="101" t="s">
        <v>496</v>
      </c>
      <c r="U147" s="101" t="s">
        <v>124</v>
      </c>
      <c r="V147" s="101" t="n">
        <v>71.52</v>
      </c>
    </row>
    <row r="148" customFormat="false" ht="15" hidden="false" customHeight="true" outlineLevel="0" collapsed="false">
      <c r="A148" s="101" t="s">
        <v>1093</v>
      </c>
      <c r="B148" s="101" t="s">
        <v>1094</v>
      </c>
      <c r="C148" s="101" t="s">
        <v>1095</v>
      </c>
      <c r="D148" s="101" t="s">
        <v>643</v>
      </c>
      <c r="E148" s="101" t="s">
        <v>514</v>
      </c>
      <c r="F148" s="101" t="s">
        <v>545</v>
      </c>
      <c r="G148" s="101" t="s">
        <v>546</v>
      </c>
      <c r="H148" s="101" t="s">
        <v>476</v>
      </c>
      <c r="I148" s="101" t="s">
        <v>477</v>
      </c>
      <c r="J148" s="101" t="s">
        <v>118</v>
      </c>
      <c r="K148" s="101" t="s">
        <v>199</v>
      </c>
      <c r="L148" s="101" t="s">
        <v>615</v>
      </c>
      <c r="M148" s="101" t="n">
        <v>102</v>
      </c>
      <c r="N148" s="101" t="n">
        <v>1.25</v>
      </c>
      <c r="O148" s="101" t="n">
        <v>30.24</v>
      </c>
      <c r="P148" s="101" t="s">
        <v>113</v>
      </c>
      <c r="Q148" s="101" t="s">
        <v>113</v>
      </c>
      <c r="R148" s="101" t="s">
        <v>124</v>
      </c>
      <c r="S148" s="101" t="s">
        <v>486</v>
      </c>
      <c r="T148" s="101" t="s">
        <v>479</v>
      </c>
      <c r="U148" s="101" t="s">
        <v>124</v>
      </c>
      <c r="V148" s="101" t="n">
        <v>523.07</v>
      </c>
    </row>
    <row r="149" customFormat="false" ht="15" hidden="false" customHeight="true" outlineLevel="0" collapsed="false">
      <c r="A149" s="101" t="s">
        <v>1096</v>
      </c>
      <c r="B149" s="101" t="s">
        <v>1097</v>
      </c>
      <c r="C149" s="101" t="s">
        <v>1098</v>
      </c>
      <c r="D149" s="102" t="n">
        <v>45883.8222222222</v>
      </c>
      <c r="E149" s="101" t="s">
        <v>483</v>
      </c>
      <c r="F149" s="101" t="s">
        <v>508</v>
      </c>
      <c r="G149" s="101" t="s">
        <v>475</v>
      </c>
      <c r="H149" s="101" t="s">
        <v>673</v>
      </c>
      <c r="I149" s="101" t="s">
        <v>645</v>
      </c>
      <c r="J149" s="101" t="s">
        <v>115</v>
      </c>
      <c r="K149" s="101" t="s">
        <v>199</v>
      </c>
      <c r="L149" s="101" t="s">
        <v>606</v>
      </c>
      <c r="M149" s="101" t="n">
        <v>111</v>
      </c>
      <c r="N149" s="101" t="n">
        <v>6.33</v>
      </c>
      <c r="O149" s="101" t="n">
        <v>7.1</v>
      </c>
      <c r="P149" s="101" t="s">
        <v>113</v>
      </c>
      <c r="Q149" s="101" t="s">
        <v>113</v>
      </c>
      <c r="R149" s="101" t="s">
        <v>124</v>
      </c>
      <c r="S149" s="101" t="s">
        <v>486</v>
      </c>
      <c r="T149" s="101" t="s">
        <v>479</v>
      </c>
      <c r="U149" s="101" t="s">
        <v>124</v>
      </c>
      <c r="V149" s="101" t="n">
        <v>108.04</v>
      </c>
    </row>
    <row r="150" customFormat="false" ht="15" hidden="false" customHeight="true" outlineLevel="0" collapsed="false">
      <c r="A150" s="101" t="s">
        <v>1099</v>
      </c>
      <c r="B150" s="101" t="s">
        <v>1100</v>
      </c>
      <c r="C150" s="101" t="s">
        <v>1101</v>
      </c>
      <c r="D150" s="101" t="s">
        <v>1102</v>
      </c>
      <c r="E150" s="101" t="s">
        <v>473</v>
      </c>
      <c r="F150" s="101" t="s">
        <v>508</v>
      </c>
      <c r="G150" s="101" t="s">
        <v>475</v>
      </c>
      <c r="H150" s="101" t="s">
        <v>476</v>
      </c>
      <c r="I150" s="101" t="s">
        <v>477</v>
      </c>
      <c r="J150" s="101" t="s">
        <v>115</v>
      </c>
      <c r="K150" s="101" t="s">
        <v>120</v>
      </c>
      <c r="L150" s="101" t="s">
        <v>571</v>
      </c>
      <c r="M150" s="101" t="n">
        <v>227</v>
      </c>
      <c r="N150" s="101" t="n">
        <v>9.25</v>
      </c>
      <c r="O150" s="101" t="n">
        <v>13.5</v>
      </c>
      <c r="P150" s="101" t="s">
        <v>113</v>
      </c>
      <c r="Q150" s="101" t="s">
        <v>113</v>
      </c>
      <c r="R150" s="101" t="s">
        <v>124</v>
      </c>
      <c r="S150" s="101" t="n">
        <v>5</v>
      </c>
      <c r="T150" s="101" t="s">
        <v>496</v>
      </c>
      <c r="U150" s="101" t="s">
        <v>124</v>
      </c>
      <c r="V150" s="101" t="n">
        <v>205.43</v>
      </c>
    </row>
    <row r="151" customFormat="false" ht="15" hidden="false" customHeight="true" outlineLevel="0" collapsed="false">
      <c r="A151" s="101" t="s">
        <v>1103</v>
      </c>
      <c r="B151" s="101" t="s">
        <v>1104</v>
      </c>
      <c r="C151" s="101" t="s">
        <v>1105</v>
      </c>
      <c r="D151" s="101" t="s">
        <v>689</v>
      </c>
      <c r="E151" s="101" t="s">
        <v>500</v>
      </c>
      <c r="F151" s="101" t="s">
        <v>515</v>
      </c>
      <c r="G151" s="101" t="s">
        <v>516</v>
      </c>
      <c r="H151" s="101" t="s">
        <v>476</v>
      </c>
      <c r="I151" s="101" t="s">
        <v>477</v>
      </c>
      <c r="J151" s="101" t="s">
        <v>115</v>
      </c>
      <c r="K151" s="101" t="s">
        <v>112</v>
      </c>
      <c r="L151" s="101" t="s">
        <v>757</v>
      </c>
      <c r="M151" s="101" t="n">
        <v>195</v>
      </c>
      <c r="N151" s="101" t="n">
        <v>29.53</v>
      </c>
      <c r="O151" s="101" t="n">
        <v>14.85</v>
      </c>
      <c r="P151" s="101" t="s">
        <v>113</v>
      </c>
      <c r="Q151" s="101" t="s">
        <v>113</v>
      </c>
      <c r="R151" s="101" t="s">
        <v>124</v>
      </c>
      <c r="S151" s="101" t="s">
        <v>486</v>
      </c>
      <c r="T151" s="101" t="s">
        <v>479</v>
      </c>
      <c r="U151" s="101" t="s">
        <v>124</v>
      </c>
      <c r="V151" s="101" t="n">
        <v>225.98</v>
      </c>
    </row>
    <row r="152" customFormat="false" ht="15" hidden="false" customHeight="true" outlineLevel="0" collapsed="false">
      <c r="A152" s="101" t="s">
        <v>1106</v>
      </c>
      <c r="B152" s="101" t="s">
        <v>1107</v>
      </c>
      <c r="C152" s="101" t="s">
        <v>1108</v>
      </c>
      <c r="D152" s="101" t="s">
        <v>983</v>
      </c>
      <c r="E152" s="101" t="s">
        <v>473</v>
      </c>
      <c r="F152" s="101" t="s">
        <v>566</v>
      </c>
      <c r="G152" s="101" t="s">
        <v>546</v>
      </c>
      <c r="H152" s="101" t="s">
        <v>509</v>
      </c>
      <c r="I152" s="101" t="s">
        <v>345</v>
      </c>
      <c r="J152" s="101" t="s">
        <v>118</v>
      </c>
      <c r="K152" s="101" t="s">
        <v>120</v>
      </c>
      <c r="L152" s="101" t="s">
        <v>503</v>
      </c>
      <c r="M152" s="101" t="n">
        <v>39</v>
      </c>
      <c r="N152" s="101" t="n">
        <v>4.84</v>
      </c>
      <c r="O152" s="101" t="n">
        <v>24.1</v>
      </c>
      <c r="P152" s="101" t="s">
        <v>113</v>
      </c>
      <c r="Q152" s="101" t="s">
        <v>124</v>
      </c>
      <c r="R152" s="101" t="s">
        <v>113</v>
      </c>
      <c r="S152" s="101" t="s">
        <v>486</v>
      </c>
      <c r="T152" s="101" t="s">
        <v>487</v>
      </c>
      <c r="U152" s="101" t="s">
        <v>124</v>
      </c>
      <c r="V152" s="101" t="n">
        <v>416.86</v>
      </c>
    </row>
    <row r="153" customFormat="false" ht="15" hidden="false" customHeight="true" outlineLevel="0" collapsed="false">
      <c r="A153" s="101" t="s">
        <v>1109</v>
      </c>
      <c r="B153" s="101" t="s">
        <v>1110</v>
      </c>
      <c r="C153" s="101" t="s">
        <v>1111</v>
      </c>
      <c r="D153" s="101" t="s">
        <v>739</v>
      </c>
      <c r="E153" s="101" t="s">
        <v>514</v>
      </c>
      <c r="F153" s="101" t="s">
        <v>566</v>
      </c>
      <c r="G153" s="101" t="s">
        <v>546</v>
      </c>
      <c r="H153" s="101" t="s">
        <v>517</v>
      </c>
      <c r="I153" s="101" t="s">
        <v>345</v>
      </c>
      <c r="J153" s="101" t="s">
        <v>118</v>
      </c>
      <c r="K153" s="101" t="s">
        <v>112</v>
      </c>
      <c r="L153" s="101" t="s">
        <v>741</v>
      </c>
      <c r="M153" s="101" t="n">
        <v>119</v>
      </c>
      <c r="N153" s="101" t="n">
        <v>0.54</v>
      </c>
      <c r="O153" s="101" t="n">
        <v>14.3</v>
      </c>
      <c r="P153" s="101" t="s">
        <v>113</v>
      </c>
      <c r="Q153" s="101" t="s">
        <v>113</v>
      </c>
      <c r="R153" s="101" t="s">
        <v>124</v>
      </c>
      <c r="S153" s="101" t="n">
        <v>4</v>
      </c>
      <c r="T153" s="101" t="s">
        <v>479</v>
      </c>
      <c r="U153" s="101" t="s">
        <v>124</v>
      </c>
      <c r="V153" s="101" t="n">
        <v>247.35</v>
      </c>
    </row>
    <row r="154" customFormat="false" ht="15" hidden="false" customHeight="true" outlineLevel="0" collapsed="false">
      <c r="A154" s="101" t="s">
        <v>1112</v>
      </c>
      <c r="B154" s="101" t="s">
        <v>1113</v>
      </c>
      <c r="C154" s="101" t="s">
        <v>1114</v>
      </c>
      <c r="D154" s="101" t="s">
        <v>794</v>
      </c>
      <c r="E154" s="101" t="s">
        <v>507</v>
      </c>
      <c r="F154" s="101" t="s">
        <v>740</v>
      </c>
      <c r="G154" s="101" t="s">
        <v>560</v>
      </c>
      <c r="H154" s="101" t="s">
        <v>880</v>
      </c>
      <c r="I154" s="101" t="s">
        <v>881</v>
      </c>
      <c r="J154" s="101" t="s">
        <v>118</v>
      </c>
      <c r="K154" s="101" t="s">
        <v>120</v>
      </c>
      <c r="L154" s="101" t="s">
        <v>812</v>
      </c>
      <c r="M154" s="101" t="n">
        <v>107</v>
      </c>
      <c r="N154" s="101" t="n">
        <v>4.55</v>
      </c>
      <c r="O154" s="101" t="n">
        <v>6.8</v>
      </c>
      <c r="P154" s="101" t="s">
        <v>113</v>
      </c>
      <c r="Q154" s="101" t="s">
        <v>124</v>
      </c>
      <c r="R154" s="101" t="s">
        <v>124</v>
      </c>
      <c r="S154" s="101" t="n">
        <v>4</v>
      </c>
      <c r="T154" s="101" t="s">
        <v>479</v>
      </c>
      <c r="U154" s="101" t="s">
        <v>124</v>
      </c>
      <c r="V154" s="101" t="n">
        <v>117.62</v>
      </c>
    </row>
    <row r="155" customFormat="false" ht="15" hidden="false" customHeight="true" outlineLevel="0" collapsed="false">
      <c r="A155" s="101" t="s">
        <v>1115</v>
      </c>
      <c r="B155" s="101" t="s">
        <v>1073</v>
      </c>
      <c r="C155" s="101" t="s">
        <v>600</v>
      </c>
      <c r="D155" s="101" t="s">
        <v>614</v>
      </c>
      <c r="E155" s="101" t="s">
        <v>491</v>
      </c>
      <c r="F155" s="101" t="s">
        <v>559</v>
      </c>
      <c r="G155" s="101" t="s">
        <v>560</v>
      </c>
      <c r="H155" s="101" t="s">
        <v>644</v>
      </c>
      <c r="I155" s="101" t="s">
        <v>645</v>
      </c>
      <c r="J155" s="101" t="s">
        <v>118</v>
      </c>
      <c r="K155" s="101" t="s">
        <v>120</v>
      </c>
      <c r="L155" s="101" t="s">
        <v>1116</v>
      </c>
      <c r="M155" s="101" t="n">
        <v>44</v>
      </c>
      <c r="N155" s="101" t="n">
        <v>0.25</v>
      </c>
      <c r="O155" s="101" t="n">
        <v>51.435</v>
      </c>
      <c r="P155" s="101" t="s">
        <v>113</v>
      </c>
      <c r="Q155" s="101" t="s">
        <v>113</v>
      </c>
      <c r="R155" s="101" t="s">
        <v>124</v>
      </c>
      <c r="S155" s="101" t="n">
        <v>4</v>
      </c>
      <c r="T155" s="101" t="s">
        <v>479</v>
      </c>
      <c r="U155" s="101" t="s">
        <v>124</v>
      </c>
      <c r="V155" s="101" t="n">
        <v>889.69</v>
      </c>
    </row>
    <row r="156" customFormat="false" ht="15" hidden="false" customHeight="true" outlineLevel="0" collapsed="false">
      <c r="A156" s="101" t="s">
        <v>1117</v>
      </c>
      <c r="B156" s="101" t="s">
        <v>1118</v>
      </c>
      <c r="C156" s="101" t="s">
        <v>1119</v>
      </c>
      <c r="D156" s="101" t="s">
        <v>1120</v>
      </c>
      <c r="E156" s="101" t="s">
        <v>507</v>
      </c>
      <c r="F156" s="101" t="s">
        <v>559</v>
      </c>
      <c r="G156" s="101" t="s">
        <v>560</v>
      </c>
      <c r="H156" s="101" t="s">
        <v>484</v>
      </c>
      <c r="I156" s="101" t="s">
        <v>345</v>
      </c>
      <c r="J156" s="101" t="s">
        <v>118</v>
      </c>
      <c r="K156" s="101" t="s">
        <v>112</v>
      </c>
      <c r="L156" s="101" t="s">
        <v>1121</v>
      </c>
      <c r="M156" s="101" t="n">
        <v>108</v>
      </c>
      <c r="N156" s="101" t="n">
        <v>25.04</v>
      </c>
      <c r="O156" s="101" t="n">
        <v>19.98</v>
      </c>
      <c r="P156" s="101" t="s">
        <v>113</v>
      </c>
      <c r="Q156" s="101" t="s">
        <v>113</v>
      </c>
      <c r="R156" s="101" t="s">
        <v>124</v>
      </c>
      <c r="S156" s="101"/>
      <c r="T156" s="101" t="s">
        <v>479</v>
      </c>
      <c r="U156" s="101" t="s">
        <v>124</v>
      </c>
      <c r="V156" s="101" t="n">
        <v>345.6</v>
      </c>
    </row>
    <row r="157" customFormat="false" ht="15" hidden="false" customHeight="true" outlineLevel="0" collapsed="false">
      <c r="A157" s="101" t="s">
        <v>1122</v>
      </c>
      <c r="B157" s="101" t="s">
        <v>1123</v>
      </c>
      <c r="C157" s="101" t="s">
        <v>1124</v>
      </c>
      <c r="D157" s="101" t="s">
        <v>1125</v>
      </c>
      <c r="E157" s="101" t="s">
        <v>483</v>
      </c>
      <c r="F157" s="101" t="s">
        <v>740</v>
      </c>
      <c r="G157" s="101" t="s">
        <v>560</v>
      </c>
      <c r="H157" s="101" t="s">
        <v>509</v>
      </c>
      <c r="I157" s="101" t="s">
        <v>345</v>
      </c>
      <c r="J157" s="101" t="s">
        <v>118</v>
      </c>
      <c r="K157" s="101" t="s">
        <v>120</v>
      </c>
      <c r="L157" s="101" t="s">
        <v>646</v>
      </c>
      <c r="M157" s="101" t="n">
        <v>75</v>
      </c>
      <c r="N157" s="101" t="n">
        <v>1.9</v>
      </c>
      <c r="O157" s="101" t="n">
        <v>34.8</v>
      </c>
      <c r="P157" s="101" t="s">
        <v>113</v>
      </c>
      <c r="Q157" s="101" t="s">
        <v>113</v>
      </c>
      <c r="R157" s="101" t="s">
        <v>124</v>
      </c>
      <c r="S157" s="101" t="n">
        <v>5</v>
      </c>
      <c r="T157" s="101" t="s">
        <v>496</v>
      </c>
      <c r="U157" s="101" t="s">
        <v>124</v>
      </c>
      <c r="V157" s="101" t="n">
        <v>601.95</v>
      </c>
    </row>
    <row r="158" customFormat="false" ht="15" hidden="false" customHeight="true" outlineLevel="0" collapsed="false">
      <c r="A158" s="101" t="s">
        <v>1126</v>
      </c>
      <c r="B158" s="101" t="s">
        <v>1127</v>
      </c>
      <c r="C158" s="101" t="s">
        <v>976</v>
      </c>
      <c r="D158" s="101" t="s">
        <v>521</v>
      </c>
      <c r="E158" s="101" t="s">
        <v>473</v>
      </c>
      <c r="F158" s="101" t="s">
        <v>740</v>
      </c>
      <c r="G158" s="101" t="s">
        <v>560</v>
      </c>
      <c r="H158" s="101" t="s">
        <v>517</v>
      </c>
      <c r="I158" s="101" t="s">
        <v>345</v>
      </c>
      <c r="J158" s="101" t="s">
        <v>115</v>
      </c>
      <c r="K158" s="101" t="s">
        <v>199</v>
      </c>
      <c r="L158" s="101" t="s">
        <v>586</v>
      </c>
      <c r="M158" s="101" t="n">
        <v>212</v>
      </c>
      <c r="N158" s="101" t="n">
        <v>7.12</v>
      </c>
      <c r="O158" s="101" t="n">
        <v>8.1</v>
      </c>
      <c r="P158" s="101" t="s">
        <v>113</v>
      </c>
      <c r="Q158" s="101" t="s">
        <v>124</v>
      </c>
      <c r="R158" s="101" t="s">
        <v>113</v>
      </c>
      <c r="S158" s="101"/>
      <c r="T158" s="101" t="s">
        <v>616</v>
      </c>
      <c r="U158" s="101" t="s">
        <v>124</v>
      </c>
      <c r="V158" s="101" t="n">
        <v>123.26</v>
      </c>
    </row>
    <row r="159" customFormat="false" ht="15" hidden="false" customHeight="true" outlineLevel="0" collapsed="false">
      <c r="A159" s="101" t="s">
        <v>1128</v>
      </c>
      <c r="B159" s="101" t="s">
        <v>1129</v>
      </c>
      <c r="C159" s="101" t="s">
        <v>1111</v>
      </c>
      <c r="D159" s="101" t="s">
        <v>1102</v>
      </c>
      <c r="E159" s="101" t="s">
        <v>473</v>
      </c>
      <c r="F159" s="101" t="s">
        <v>508</v>
      </c>
      <c r="G159" s="101" t="s">
        <v>475</v>
      </c>
      <c r="H159" s="101" t="s">
        <v>484</v>
      </c>
      <c r="I159" s="101" t="s">
        <v>345</v>
      </c>
      <c r="J159" s="101" t="s">
        <v>118</v>
      </c>
      <c r="K159" s="101" t="s">
        <v>194</v>
      </c>
      <c r="L159" s="101" t="s">
        <v>1130</v>
      </c>
      <c r="M159" s="101" t="n">
        <v>60</v>
      </c>
      <c r="N159" s="101" t="n">
        <v>35.72</v>
      </c>
      <c r="O159" s="101" t="n">
        <v>27.945</v>
      </c>
      <c r="P159" s="101" t="s">
        <v>113</v>
      </c>
      <c r="Q159" s="101" t="s">
        <v>124</v>
      </c>
      <c r="R159" s="101" t="s">
        <v>113</v>
      </c>
      <c r="S159" s="101"/>
      <c r="T159" s="101" t="s">
        <v>487</v>
      </c>
      <c r="U159" s="101" t="s">
        <v>124</v>
      </c>
      <c r="V159" s="101" t="n">
        <v>483.37</v>
      </c>
    </row>
    <row r="160" customFormat="false" ht="15" hidden="false" customHeight="true" outlineLevel="0" collapsed="false">
      <c r="A160" s="101" t="s">
        <v>1131</v>
      </c>
      <c r="B160" s="101" t="s">
        <v>1132</v>
      </c>
      <c r="C160" s="101" t="s">
        <v>1133</v>
      </c>
      <c r="D160" s="101" t="s">
        <v>1134</v>
      </c>
      <c r="E160" s="101" t="s">
        <v>473</v>
      </c>
      <c r="F160" s="101" t="s">
        <v>508</v>
      </c>
      <c r="G160" s="101" t="s">
        <v>475</v>
      </c>
      <c r="H160" s="101" t="s">
        <v>476</v>
      </c>
      <c r="I160" s="101" t="s">
        <v>477</v>
      </c>
      <c r="J160" s="101" t="s">
        <v>133</v>
      </c>
      <c r="K160" s="101"/>
      <c r="L160" s="101" t="s">
        <v>547</v>
      </c>
      <c r="M160" s="101" t="n">
        <v>28</v>
      </c>
      <c r="N160" s="101" t="n">
        <v>4.16</v>
      </c>
      <c r="O160" s="101" t="n">
        <v>3.24</v>
      </c>
      <c r="P160" s="101" t="s">
        <v>113</v>
      </c>
      <c r="Q160" s="101" t="s">
        <v>124</v>
      </c>
      <c r="R160" s="101" t="s">
        <v>113</v>
      </c>
      <c r="S160" s="101" t="n">
        <v>2</v>
      </c>
      <c r="T160" s="101" t="s">
        <v>616</v>
      </c>
      <c r="U160" s="101" t="s">
        <v>124</v>
      </c>
      <c r="V160" s="101" t="n">
        <v>15.55</v>
      </c>
    </row>
    <row r="161" customFormat="false" ht="15" hidden="false" customHeight="true" outlineLevel="0" collapsed="false">
      <c r="A161" s="101" t="s">
        <v>1135</v>
      </c>
      <c r="B161" s="101" t="s">
        <v>1136</v>
      </c>
      <c r="C161" s="101" t="s">
        <v>1137</v>
      </c>
      <c r="D161" s="101" t="s">
        <v>601</v>
      </c>
      <c r="E161" s="101" t="s">
        <v>473</v>
      </c>
      <c r="F161" s="101" t="s">
        <v>508</v>
      </c>
      <c r="G161" s="101" t="s">
        <v>475</v>
      </c>
      <c r="H161" s="101" t="s">
        <v>509</v>
      </c>
      <c r="I161" s="101" t="s">
        <v>345</v>
      </c>
      <c r="J161" s="101" t="s">
        <v>118</v>
      </c>
      <c r="K161" s="101" t="s">
        <v>112</v>
      </c>
      <c r="L161" s="101" t="s">
        <v>1138</v>
      </c>
      <c r="M161" s="101" t="n">
        <v>24</v>
      </c>
      <c r="N161" s="101" t="n">
        <v>4.48</v>
      </c>
      <c r="O161" s="101" t="n">
        <v>25.1</v>
      </c>
      <c r="P161" s="101" t="s">
        <v>113</v>
      </c>
      <c r="Q161" s="101" t="s">
        <v>113</v>
      </c>
      <c r="R161" s="101" t="s">
        <v>124</v>
      </c>
      <c r="S161" s="101" t="s">
        <v>486</v>
      </c>
      <c r="T161" s="101" t="s">
        <v>479</v>
      </c>
      <c r="U161" s="101" t="s">
        <v>124</v>
      </c>
      <c r="V161" s="101" t="n">
        <v>434.16</v>
      </c>
    </row>
    <row r="162" customFormat="false" ht="15" hidden="false" customHeight="true" outlineLevel="0" collapsed="false">
      <c r="A162" s="101" t="s">
        <v>1139</v>
      </c>
      <c r="B162" s="101" t="s">
        <v>1140</v>
      </c>
      <c r="C162" s="101" t="s">
        <v>1141</v>
      </c>
      <c r="D162" s="101" t="s">
        <v>1142</v>
      </c>
      <c r="E162" s="101" t="s">
        <v>483</v>
      </c>
      <c r="F162" s="101" t="s">
        <v>474</v>
      </c>
      <c r="G162" s="101" t="s">
        <v>475</v>
      </c>
      <c r="H162" s="101" t="s">
        <v>727</v>
      </c>
      <c r="I162" s="101" t="s">
        <v>645</v>
      </c>
      <c r="J162" s="101" t="s">
        <v>118</v>
      </c>
      <c r="K162" s="101" t="s">
        <v>199</v>
      </c>
      <c r="L162" s="101" t="s">
        <v>1143</v>
      </c>
      <c r="M162" s="101" t="n">
        <v>86</v>
      </c>
      <c r="N162" s="101" t="n">
        <v>0.76</v>
      </c>
      <c r="O162" s="101" t="n">
        <v>16</v>
      </c>
      <c r="P162" s="101" t="s">
        <v>113</v>
      </c>
      <c r="Q162" s="101" t="s">
        <v>113</v>
      </c>
      <c r="R162" s="101" t="s">
        <v>124</v>
      </c>
      <c r="S162" s="101"/>
      <c r="T162" s="101" t="s">
        <v>479</v>
      </c>
      <c r="U162" s="101" t="s">
        <v>124</v>
      </c>
      <c r="V162" s="101" t="n">
        <v>276.76</v>
      </c>
    </row>
    <row r="163" customFormat="false" ht="15" hidden="false" customHeight="true" outlineLevel="0" collapsed="false">
      <c r="A163" s="101" t="s">
        <v>1144</v>
      </c>
      <c r="B163" s="101" t="s">
        <v>1145</v>
      </c>
      <c r="C163" s="101" t="s">
        <v>1146</v>
      </c>
      <c r="D163" s="101" t="s">
        <v>1147</v>
      </c>
      <c r="E163" s="101" t="s">
        <v>473</v>
      </c>
      <c r="F163" s="101" t="s">
        <v>559</v>
      </c>
      <c r="G163" s="101" t="s">
        <v>560</v>
      </c>
      <c r="H163" s="101" t="s">
        <v>484</v>
      </c>
      <c r="I163" s="101" t="s">
        <v>345</v>
      </c>
      <c r="J163" s="101" t="s">
        <v>115</v>
      </c>
      <c r="K163" s="101" t="s">
        <v>199</v>
      </c>
      <c r="L163" s="101" t="s">
        <v>1148</v>
      </c>
      <c r="M163" s="101" t="n">
        <v>87</v>
      </c>
      <c r="N163" s="101" t="n">
        <v>7.79</v>
      </c>
      <c r="O163" s="101" t="n">
        <v>12.42</v>
      </c>
      <c r="P163" s="101" t="s">
        <v>113</v>
      </c>
      <c r="Q163" s="101" t="s">
        <v>113</v>
      </c>
      <c r="R163" s="101" t="s">
        <v>124</v>
      </c>
      <c r="S163" s="101"/>
      <c r="T163" s="101" t="s">
        <v>487</v>
      </c>
      <c r="U163" s="101" t="s">
        <v>124</v>
      </c>
      <c r="V163" s="101" t="n">
        <v>189</v>
      </c>
    </row>
    <row r="164" customFormat="false" ht="15" hidden="false" customHeight="true" outlineLevel="0" collapsed="false">
      <c r="A164" s="101" t="s">
        <v>1149</v>
      </c>
      <c r="B164" s="101" t="s">
        <v>1150</v>
      </c>
      <c r="C164" s="101" t="s">
        <v>1151</v>
      </c>
      <c r="D164" s="101" t="s">
        <v>1102</v>
      </c>
      <c r="E164" s="101" t="s">
        <v>473</v>
      </c>
      <c r="F164" s="101" t="s">
        <v>492</v>
      </c>
      <c r="G164" s="101" t="s">
        <v>475</v>
      </c>
      <c r="H164" s="101" t="s">
        <v>484</v>
      </c>
      <c r="I164" s="101" t="s">
        <v>345</v>
      </c>
      <c r="J164" s="101" t="s">
        <v>118</v>
      </c>
      <c r="K164" s="101" t="s">
        <v>120</v>
      </c>
      <c r="L164" s="101" t="s">
        <v>994</v>
      </c>
      <c r="M164" s="101" t="n">
        <v>31</v>
      </c>
      <c r="N164" s="101" t="n">
        <v>4.98</v>
      </c>
      <c r="O164" s="101" t="n">
        <v>38.07</v>
      </c>
      <c r="P164" s="101" t="s">
        <v>113</v>
      </c>
      <c r="Q164" s="101" t="s">
        <v>124</v>
      </c>
      <c r="R164" s="101" t="s">
        <v>113</v>
      </c>
      <c r="S164" s="101" t="n">
        <v>2</v>
      </c>
      <c r="T164" s="101" t="s">
        <v>616</v>
      </c>
      <c r="U164" s="101" t="s">
        <v>124</v>
      </c>
      <c r="V164" s="101" t="n">
        <v>658.51</v>
      </c>
    </row>
    <row r="165" customFormat="false" ht="15" hidden="false" customHeight="true" outlineLevel="0" collapsed="false">
      <c r="A165" s="101" t="s">
        <v>1152</v>
      </c>
      <c r="B165" s="101" t="s">
        <v>1153</v>
      </c>
      <c r="C165" s="101" t="s">
        <v>1154</v>
      </c>
      <c r="D165" s="101" t="s">
        <v>789</v>
      </c>
      <c r="E165" s="101" t="s">
        <v>483</v>
      </c>
      <c r="F165" s="101" t="s">
        <v>545</v>
      </c>
      <c r="G165" s="101" t="s">
        <v>546</v>
      </c>
      <c r="H165" s="101" t="s">
        <v>484</v>
      </c>
      <c r="I165" s="101" t="s">
        <v>345</v>
      </c>
      <c r="J165" s="101" t="s">
        <v>118</v>
      </c>
      <c r="K165" s="101" t="s">
        <v>112</v>
      </c>
      <c r="L165" s="101" t="s">
        <v>1155</v>
      </c>
      <c r="M165" s="101" t="n">
        <v>44</v>
      </c>
      <c r="N165" s="101" t="n">
        <v>7.16</v>
      </c>
      <c r="O165" s="101" t="n">
        <v>42.66</v>
      </c>
      <c r="P165" s="101" t="s">
        <v>113</v>
      </c>
      <c r="Q165" s="101" t="s">
        <v>124</v>
      </c>
      <c r="R165" s="101" t="s">
        <v>113</v>
      </c>
      <c r="S165" s="101"/>
      <c r="T165" s="101" t="s">
        <v>616</v>
      </c>
      <c r="U165" s="101" t="s">
        <v>124</v>
      </c>
      <c r="V165" s="101" t="n">
        <v>737.9</v>
      </c>
    </row>
    <row r="166" customFormat="false" ht="15" hidden="false" customHeight="true" outlineLevel="0" collapsed="false">
      <c r="A166" s="101" t="s">
        <v>1156</v>
      </c>
      <c r="B166" s="101" t="s">
        <v>1157</v>
      </c>
      <c r="C166" s="101" t="s">
        <v>1158</v>
      </c>
      <c r="D166" s="101" t="s">
        <v>1159</v>
      </c>
      <c r="E166" s="101" t="s">
        <v>539</v>
      </c>
      <c r="F166" s="101" t="s">
        <v>566</v>
      </c>
      <c r="G166" s="101" t="s">
        <v>546</v>
      </c>
      <c r="H166" s="101" t="s">
        <v>673</v>
      </c>
      <c r="I166" s="101" t="s">
        <v>645</v>
      </c>
      <c r="J166" s="101" t="s">
        <v>115</v>
      </c>
      <c r="K166" s="101" t="s">
        <v>116</v>
      </c>
      <c r="L166" s="101" t="s">
        <v>808</v>
      </c>
      <c r="M166" s="101" t="n">
        <v>247</v>
      </c>
      <c r="N166" s="101" t="n">
        <v>32.15</v>
      </c>
      <c r="O166" s="101" t="n">
        <v>12.1</v>
      </c>
      <c r="P166" s="101" t="s">
        <v>113</v>
      </c>
      <c r="Q166" s="101" t="s">
        <v>113</v>
      </c>
      <c r="R166" s="101" t="s">
        <v>124</v>
      </c>
      <c r="S166" s="101"/>
      <c r="T166" s="101" t="s">
        <v>479</v>
      </c>
      <c r="U166" s="101" t="s">
        <v>124</v>
      </c>
      <c r="V166" s="101" t="n">
        <v>184.13</v>
      </c>
    </row>
    <row r="167" customFormat="false" ht="15" hidden="false" customHeight="true" outlineLevel="0" collapsed="false">
      <c r="A167" s="101" t="s">
        <v>1160</v>
      </c>
      <c r="B167" s="101" t="s">
        <v>1161</v>
      </c>
      <c r="C167" s="101" t="s">
        <v>1162</v>
      </c>
      <c r="D167" s="101" t="s">
        <v>1163</v>
      </c>
      <c r="E167" s="101" t="s">
        <v>473</v>
      </c>
      <c r="F167" s="101" t="s">
        <v>492</v>
      </c>
      <c r="G167" s="101" t="s">
        <v>475</v>
      </c>
      <c r="H167" s="101" t="s">
        <v>484</v>
      </c>
      <c r="I167" s="101" t="s">
        <v>345</v>
      </c>
      <c r="J167" s="101" t="s">
        <v>123</v>
      </c>
      <c r="K167" s="101" t="s">
        <v>199</v>
      </c>
      <c r="L167" s="101" t="s">
        <v>1164</v>
      </c>
      <c r="M167" s="101" t="n">
        <v>10222</v>
      </c>
      <c r="N167" s="101" t="n">
        <v>9.67</v>
      </c>
      <c r="O167" s="101" t="n">
        <v>33.48</v>
      </c>
      <c r="P167" s="101" t="s">
        <v>113</v>
      </c>
      <c r="Q167" s="101" t="s">
        <v>124</v>
      </c>
      <c r="R167" s="101" t="s">
        <v>113</v>
      </c>
      <c r="S167" s="101" t="n">
        <v>2</v>
      </c>
      <c r="T167" s="101" t="s">
        <v>616</v>
      </c>
      <c r="U167" s="101" t="s">
        <v>124</v>
      </c>
      <c r="V167" s="101" t="n">
        <v>251.1</v>
      </c>
    </row>
    <row r="168" customFormat="false" ht="15" hidden="false" customHeight="true" outlineLevel="0" collapsed="false">
      <c r="A168" s="101" t="s">
        <v>1165</v>
      </c>
      <c r="B168" s="101" t="s">
        <v>1166</v>
      </c>
      <c r="C168" s="101" t="s">
        <v>1167</v>
      </c>
      <c r="D168" s="101" t="s">
        <v>913</v>
      </c>
      <c r="E168" s="101" t="s">
        <v>507</v>
      </c>
      <c r="F168" s="101" t="s">
        <v>508</v>
      </c>
      <c r="G168" s="101" t="s">
        <v>475</v>
      </c>
      <c r="H168" s="101" t="s">
        <v>727</v>
      </c>
      <c r="I168" s="101" t="s">
        <v>645</v>
      </c>
      <c r="J168" s="101" t="s">
        <v>118</v>
      </c>
      <c r="K168" s="101" t="s">
        <v>120</v>
      </c>
      <c r="L168" s="101" t="s">
        <v>1168</v>
      </c>
      <c r="M168" s="101" t="n">
        <v>40</v>
      </c>
      <c r="N168" s="101" t="n">
        <v>1.33</v>
      </c>
      <c r="O168" s="101" t="n">
        <v>16.6</v>
      </c>
      <c r="P168" s="101" t="s">
        <v>113</v>
      </c>
      <c r="Q168" s="101" t="s">
        <v>113</v>
      </c>
      <c r="R168" s="101" t="s">
        <v>124</v>
      </c>
      <c r="S168" s="101" t="n">
        <v>4</v>
      </c>
      <c r="T168" s="101" t="s">
        <v>479</v>
      </c>
      <c r="U168" s="101" t="s">
        <v>124</v>
      </c>
      <c r="V168" s="101" t="n">
        <v>287.14</v>
      </c>
    </row>
    <row r="169" customFormat="false" ht="15" hidden="false" customHeight="true" outlineLevel="0" collapsed="false">
      <c r="A169" s="101" t="s">
        <v>1169</v>
      </c>
      <c r="B169" s="101" t="s">
        <v>1170</v>
      </c>
      <c r="C169" s="101" t="s">
        <v>1171</v>
      </c>
      <c r="D169" s="101" t="s">
        <v>922</v>
      </c>
      <c r="E169" s="101" t="s">
        <v>539</v>
      </c>
      <c r="F169" s="101" t="s">
        <v>566</v>
      </c>
      <c r="G169" s="101" t="s">
        <v>546</v>
      </c>
      <c r="H169" s="101" t="s">
        <v>484</v>
      </c>
      <c r="I169" s="101" t="s">
        <v>345</v>
      </c>
      <c r="J169" s="101" t="s">
        <v>133</v>
      </c>
      <c r="K169" s="101"/>
      <c r="L169" s="101" t="s">
        <v>547</v>
      </c>
      <c r="M169" s="101" t="n">
        <v>15</v>
      </c>
      <c r="N169" s="101" t="n">
        <v>36.4</v>
      </c>
      <c r="O169" s="101" t="n">
        <v>2.16</v>
      </c>
      <c r="P169" s="101" t="s">
        <v>113</v>
      </c>
      <c r="Q169" s="101" t="s">
        <v>113</v>
      </c>
      <c r="R169" s="101" t="s">
        <v>124</v>
      </c>
      <c r="S169" s="101" t="n">
        <v>4</v>
      </c>
      <c r="T169" s="101" t="s">
        <v>479</v>
      </c>
      <c r="U169" s="101" t="s">
        <v>124</v>
      </c>
      <c r="V169" s="101" t="n">
        <v>10.37</v>
      </c>
    </row>
    <row r="170" customFormat="false" ht="15" hidden="false" customHeight="true" outlineLevel="0" collapsed="false">
      <c r="A170" s="101" t="s">
        <v>1172</v>
      </c>
      <c r="B170" s="101" t="s">
        <v>1173</v>
      </c>
      <c r="C170" s="101" t="s">
        <v>1174</v>
      </c>
      <c r="D170" s="101" t="s">
        <v>1055</v>
      </c>
      <c r="E170" s="101" t="s">
        <v>514</v>
      </c>
      <c r="F170" s="101" t="s">
        <v>508</v>
      </c>
      <c r="G170" s="101" t="s">
        <v>475</v>
      </c>
      <c r="H170" s="101" t="s">
        <v>592</v>
      </c>
      <c r="I170" s="101" t="s">
        <v>593</v>
      </c>
      <c r="J170" s="101" t="s">
        <v>118</v>
      </c>
      <c r="K170" s="101" t="s">
        <v>120</v>
      </c>
      <c r="L170" s="101" t="s">
        <v>1175</v>
      </c>
      <c r="M170" s="101" t="n">
        <v>72</v>
      </c>
      <c r="N170" s="101" t="n">
        <v>3.7</v>
      </c>
      <c r="O170" s="101" t="n">
        <v>17.3</v>
      </c>
      <c r="P170" s="101" t="s">
        <v>113</v>
      </c>
      <c r="Q170" s="101" t="s">
        <v>113</v>
      </c>
      <c r="R170" s="101" t="s">
        <v>124</v>
      </c>
      <c r="S170" s="101" t="n">
        <v>4</v>
      </c>
      <c r="T170" s="101" t="s">
        <v>479</v>
      </c>
      <c r="U170" s="101" t="s">
        <v>124</v>
      </c>
      <c r="V170" s="101" t="n">
        <v>299.24</v>
      </c>
    </row>
    <row r="171" customFormat="false" ht="15" hidden="false" customHeight="true" outlineLevel="0" collapsed="false">
      <c r="A171" s="101" t="s">
        <v>1176</v>
      </c>
      <c r="B171" s="101" t="s">
        <v>1177</v>
      </c>
      <c r="C171" s="101" t="s">
        <v>1178</v>
      </c>
      <c r="D171" s="101" t="s">
        <v>1179</v>
      </c>
      <c r="E171" s="101" t="s">
        <v>483</v>
      </c>
      <c r="F171" s="101" t="s">
        <v>530</v>
      </c>
      <c r="G171" s="101" t="s">
        <v>516</v>
      </c>
      <c r="H171" s="101" t="s">
        <v>484</v>
      </c>
      <c r="I171" s="101" t="s">
        <v>345</v>
      </c>
      <c r="J171" s="101" t="s">
        <v>111</v>
      </c>
      <c r="K171" s="101" t="s">
        <v>120</v>
      </c>
      <c r="L171" s="101" t="s">
        <v>1116</v>
      </c>
      <c r="M171" s="101" t="n">
        <v>768</v>
      </c>
      <c r="N171" s="101" t="n">
        <v>35.84</v>
      </c>
      <c r="O171" s="101" t="n">
        <v>15.525</v>
      </c>
      <c r="P171" s="101" t="s">
        <v>113</v>
      </c>
      <c r="Q171" s="101" t="s">
        <v>113</v>
      </c>
      <c r="R171" s="101" t="s">
        <v>124</v>
      </c>
      <c r="S171" s="101" t="n">
        <v>3</v>
      </c>
      <c r="T171" s="101" t="s">
        <v>487</v>
      </c>
      <c r="U171" s="101" t="s">
        <v>124</v>
      </c>
      <c r="V171" s="101" t="n">
        <v>218.94</v>
      </c>
    </row>
    <row r="172" customFormat="false" ht="15" hidden="false" customHeight="true" outlineLevel="0" collapsed="false">
      <c r="A172" s="101" t="s">
        <v>1180</v>
      </c>
      <c r="B172" s="101" t="s">
        <v>1181</v>
      </c>
      <c r="C172" s="101" t="s">
        <v>1182</v>
      </c>
      <c r="D172" s="101" t="s">
        <v>954</v>
      </c>
      <c r="E172" s="101" t="s">
        <v>539</v>
      </c>
      <c r="F172" s="101" t="s">
        <v>508</v>
      </c>
      <c r="G172" s="101" t="s">
        <v>475</v>
      </c>
      <c r="H172" s="101" t="s">
        <v>561</v>
      </c>
      <c r="I172" s="101" t="s">
        <v>345</v>
      </c>
      <c r="J172" s="101" t="s">
        <v>123</v>
      </c>
      <c r="K172" s="101" t="s">
        <v>120</v>
      </c>
      <c r="L172" s="101" t="s">
        <v>1183</v>
      </c>
      <c r="M172" s="101" t="n">
        <v>24863</v>
      </c>
      <c r="N172" s="101" t="n">
        <v>3.43</v>
      </c>
      <c r="O172" s="101" t="n">
        <v>20.5</v>
      </c>
      <c r="P172" s="101" t="s">
        <v>124</v>
      </c>
      <c r="Q172" s="101" t="s">
        <v>113</v>
      </c>
      <c r="R172" s="101" t="s">
        <v>124</v>
      </c>
      <c r="S172" s="101" t="s">
        <v>486</v>
      </c>
      <c r="T172" s="101" t="s">
        <v>479</v>
      </c>
      <c r="U172" s="101" t="s">
        <v>124</v>
      </c>
      <c r="V172" s="101" t="n">
        <v>153.75</v>
      </c>
    </row>
    <row r="173" customFormat="false" ht="15" hidden="false" customHeight="true" outlineLevel="0" collapsed="false">
      <c r="A173" s="101" t="s">
        <v>1184</v>
      </c>
      <c r="B173" s="101" t="s">
        <v>1185</v>
      </c>
      <c r="C173" s="101" t="s">
        <v>1186</v>
      </c>
      <c r="D173" s="101" t="s">
        <v>1187</v>
      </c>
      <c r="E173" s="101" t="s">
        <v>507</v>
      </c>
      <c r="F173" s="101" t="s">
        <v>474</v>
      </c>
      <c r="G173" s="101" t="s">
        <v>475</v>
      </c>
      <c r="H173" s="101" t="s">
        <v>509</v>
      </c>
      <c r="I173" s="101" t="s">
        <v>345</v>
      </c>
      <c r="J173" s="101" t="s">
        <v>115</v>
      </c>
      <c r="K173" s="101" t="s">
        <v>120</v>
      </c>
      <c r="L173" s="101" t="s">
        <v>535</v>
      </c>
      <c r="M173" s="101" t="n">
        <v>81</v>
      </c>
      <c r="N173" s="101" t="n">
        <v>0.8</v>
      </c>
      <c r="O173" s="101" t="n">
        <v>11</v>
      </c>
      <c r="P173" s="101" t="s">
        <v>113</v>
      </c>
      <c r="Q173" s="101" t="s">
        <v>113</v>
      </c>
      <c r="R173" s="101" t="s">
        <v>124</v>
      </c>
      <c r="S173" s="101" t="n">
        <v>5</v>
      </c>
      <c r="T173" s="101" t="s">
        <v>496</v>
      </c>
      <c r="U173" s="101" t="s">
        <v>124</v>
      </c>
      <c r="V173" s="101" t="n">
        <v>167.39</v>
      </c>
    </row>
    <row r="174" customFormat="false" ht="15" hidden="false" customHeight="true" outlineLevel="0" collapsed="false">
      <c r="A174" s="101" t="s">
        <v>1188</v>
      </c>
      <c r="B174" s="101" t="s">
        <v>1189</v>
      </c>
      <c r="C174" s="101" t="s">
        <v>1190</v>
      </c>
      <c r="D174" s="101" t="s">
        <v>1191</v>
      </c>
      <c r="E174" s="101" t="s">
        <v>491</v>
      </c>
      <c r="F174" s="101" t="s">
        <v>559</v>
      </c>
      <c r="G174" s="101" t="s">
        <v>560</v>
      </c>
      <c r="H174" s="101" t="s">
        <v>517</v>
      </c>
      <c r="I174" s="101" t="s">
        <v>345</v>
      </c>
      <c r="J174" s="101" t="s">
        <v>123</v>
      </c>
      <c r="K174" s="101" t="s">
        <v>194</v>
      </c>
      <c r="L174" s="101" t="s">
        <v>1192</v>
      </c>
      <c r="M174" s="101" t="n">
        <v>14107</v>
      </c>
      <c r="N174" s="101" t="n">
        <v>1.17</v>
      </c>
      <c r="O174" s="101" t="n">
        <v>21.9</v>
      </c>
      <c r="P174" s="101" t="s">
        <v>113</v>
      </c>
      <c r="Q174" s="101" t="s">
        <v>124</v>
      </c>
      <c r="R174" s="101" t="s">
        <v>113</v>
      </c>
      <c r="S174" s="101" t="s">
        <v>486</v>
      </c>
      <c r="T174" s="101" t="s">
        <v>487</v>
      </c>
      <c r="U174" s="101" t="s">
        <v>124</v>
      </c>
      <c r="V174" s="101" t="n">
        <v>164.25</v>
      </c>
    </row>
    <row r="175" customFormat="false" ht="15" hidden="false" customHeight="true" outlineLevel="0" collapsed="false">
      <c r="A175" s="101" t="s">
        <v>1193</v>
      </c>
      <c r="B175" s="101" t="s">
        <v>1194</v>
      </c>
      <c r="C175" s="101" t="s">
        <v>1195</v>
      </c>
      <c r="D175" s="101" t="s">
        <v>1196</v>
      </c>
      <c r="E175" s="101" t="s">
        <v>483</v>
      </c>
      <c r="F175" s="101" t="s">
        <v>545</v>
      </c>
      <c r="G175" s="101" t="s">
        <v>546</v>
      </c>
      <c r="H175" s="101" t="s">
        <v>484</v>
      </c>
      <c r="I175" s="101" t="s">
        <v>345</v>
      </c>
      <c r="J175" s="101" t="s">
        <v>115</v>
      </c>
      <c r="K175" s="101" t="s">
        <v>199</v>
      </c>
      <c r="L175" s="101" t="s">
        <v>1148</v>
      </c>
      <c r="M175" s="101" t="n">
        <v>67</v>
      </c>
      <c r="N175" s="101" t="n">
        <v>21.12</v>
      </c>
      <c r="O175" s="101" t="n">
        <v>27.675</v>
      </c>
      <c r="P175" s="101" t="s">
        <v>113</v>
      </c>
      <c r="Q175" s="101" t="s">
        <v>113</v>
      </c>
      <c r="R175" s="101" t="s">
        <v>124</v>
      </c>
      <c r="S175" s="101"/>
      <c r="T175" s="101" t="s">
        <v>487</v>
      </c>
      <c r="U175" s="101" t="s">
        <v>124</v>
      </c>
      <c r="V175" s="101" t="n">
        <v>421.14</v>
      </c>
    </row>
    <row r="176" customFormat="false" ht="15" hidden="false" customHeight="true" outlineLevel="0" collapsed="false">
      <c r="A176" s="101" t="s">
        <v>1197</v>
      </c>
      <c r="B176" s="101" t="s">
        <v>1198</v>
      </c>
      <c r="C176" s="101" t="s">
        <v>1199</v>
      </c>
      <c r="D176" s="101" t="s">
        <v>570</v>
      </c>
      <c r="E176" s="101" t="s">
        <v>539</v>
      </c>
      <c r="F176" s="101" t="s">
        <v>515</v>
      </c>
      <c r="G176" s="101" t="s">
        <v>516</v>
      </c>
      <c r="H176" s="101" t="s">
        <v>493</v>
      </c>
      <c r="I176" s="101" t="s">
        <v>494</v>
      </c>
      <c r="J176" s="101" t="s">
        <v>123</v>
      </c>
      <c r="K176" s="101" t="s">
        <v>120</v>
      </c>
      <c r="L176" s="101" t="s">
        <v>1116</v>
      </c>
      <c r="M176" s="101" t="n">
        <v>3463</v>
      </c>
      <c r="N176" s="101" t="n">
        <v>1.15</v>
      </c>
      <c r="O176" s="101" t="n">
        <v>16.065</v>
      </c>
      <c r="P176" s="101" t="s">
        <v>113</v>
      </c>
      <c r="Q176" s="101" t="s">
        <v>124</v>
      </c>
      <c r="R176" s="101" t="s">
        <v>113</v>
      </c>
      <c r="S176" s="101"/>
      <c r="T176" s="101" t="s">
        <v>487</v>
      </c>
      <c r="U176" s="101" t="s">
        <v>124</v>
      </c>
      <c r="V176" s="101" t="n">
        <v>120.49</v>
      </c>
    </row>
    <row r="177" customFormat="false" ht="15" hidden="false" customHeight="true" outlineLevel="0" collapsed="false">
      <c r="A177" s="101" t="s">
        <v>1200</v>
      </c>
      <c r="B177" s="101" t="s">
        <v>1201</v>
      </c>
      <c r="C177" s="101" t="s">
        <v>1202</v>
      </c>
      <c r="D177" s="101" t="s">
        <v>1022</v>
      </c>
      <c r="E177" s="101" t="s">
        <v>507</v>
      </c>
      <c r="F177" s="101" t="s">
        <v>501</v>
      </c>
      <c r="G177" s="101" t="s">
        <v>502</v>
      </c>
      <c r="H177" s="101" t="s">
        <v>493</v>
      </c>
      <c r="I177" s="101" t="s">
        <v>494</v>
      </c>
      <c r="J177" s="101" t="s">
        <v>123</v>
      </c>
      <c r="K177" s="101" t="s">
        <v>120</v>
      </c>
      <c r="L177" s="101" t="s">
        <v>646</v>
      </c>
      <c r="M177" s="101" t="n">
        <v>17014</v>
      </c>
      <c r="N177" s="101" t="n">
        <v>1.54</v>
      </c>
      <c r="O177" s="101" t="n">
        <v>24.735</v>
      </c>
      <c r="P177" s="101" t="s">
        <v>124</v>
      </c>
      <c r="Q177" s="101" t="s">
        <v>113</v>
      </c>
      <c r="R177" s="101" t="s">
        <v>124</v>
      </c>
      <c r="S177" s="101" t="n">
        <v>4</v>
      </c>
      <c r="T177" s="101" t="s">
        <v>479</v>
      </c>
      <c r="U177" s="101" t="s">
        <v>124</v>
      </c>
      <c r="V177" s="101" t="n">
        <v>185.51</v>
      </c>
    </row>
    <row r="178" customFormat="false" ht="15" hidden="false" customHeight="true" outlineLevel="0" collapsed="false">
      <c r="A178" s="101" t="s">
        <v>1203</v>
      </c>
      <c r="B178" s="101" t="s">
        <v>1204</v>
      </c>
      <c r="C178" s="101" t="s">
        <v>1205</v>
      </c>
      <c r="D178" s="101" t="s">
        <v>789</v>
      </c>
      <c r="E178" s="101" t="s">
        <v>483</v>
      </c>
      <c r="F178" s="101" t="s">
        <v>474</v>
      </c>
      <c r="G178" s="101" t="s">
        <v>475</v>
      </c>
      <c r="H178" s="101" t="s">
        <v>880</v>
      </c>
      <c r="I178" s="101" t="s">
        <v>881</v>
      </c>
      <c r="J178" s="101" t="s">
        <v>118</v>
      </c>
      <c r="K178" s="101" t="s">
        <v>120</v>
      </c>
      <c r="L178" s="101" t="s">
        <v>1175</v>
      </c>
      <c r="M178" s="101" t="n">
        <v>87</v>
      </c>
      <c r="N178" s="101" t="n">
        <v>0.61</v>
      </c>
      <c r="O178" s="101" t="n">
        <v>20.485</v>
      </c>
      <c r="P178" s="101" t="s">
        <v>113</v>
      </c>
      <c r="Q178" s="101" t="s">
        <v>124</v>
      </c>
      <c r="R178" s="101" t="s">
        <v>124</v>
      </c>
      <c r="S178" s="101" t="n">
        <v>4</v>
      </c>
      <c r="T178" s="101" t="s">
        <v>479</v>
      </c>
      <c r="U178" s="101" t="s">
        <v>124</v>
      </c>
      <c r="V178" s="101" t="n">
        <v>354.34</v>
      </c>
    </row>
    <row r="179" customFormat="false" ht="15" hidden="false" customHeight="true" outlineLevel="0" collapsed="false">
      <c r="A179" s="101" t="s">
        <v>1206</v>
      </c>
      <c r="B179" s="101" t="s">
        <v>1207</v>
      </c>
      <c r="C179" s="101" t="s">
        <v>1208</v>
      </c>
      <c r="D179" s="101" t="s">
        <v>816</v>
      </c>
      <c r="E179" s="101" t="s">
        <v>491</v>
      </c>
      <c r="F179" s="101" t="s">
        <v>492</v>
      </c>
      <c r="G179" s="101" t="s">
        <v>475</v>
      </c>
      <c r="H179" s="101" t="s">
        <v>476</v>
      </c>
      <c r="I179" s="101" t="s">
        <v>477</v>
      </c>
      <c r="J179" s="101" t="s">
        <v>111</v>
      </c>
      <c r="K179" s="101" t="s">
        <v>120</v>
      </c>
      <c r="L179" s="101" t="s">
        <v>1183</v>
      </c>
      <c r="M179" s="101" t="n">
        <v>547</v>
      </c>
      <c r="N179" s="101" t="n">
        <v>3.35</v>
      </c>
      <c r="O179" s="101" t="n">
        <v>5.265</v>
      </c>
      <c r="P179" s="101" t="s">
        <v>113</v>
      </c>
      <c r="Q179" s="101" t="s">
        <v>113</v>
      </c>
      <c r="R179" s="101" t="s">
        <v>124</v>
      </c>
      <c r="S179" s="101"/>
      <c r="T179" s="101" t="s">
        <v>479</v>
      </c>
      <c r="U179" s="101" t="s">
        <v>124</v>
      </c>
      <c r="V179" s="101" t="n">
        <v>74.25</v>
      </c>
    </row>
    <row r="180" customFormat="false" ht="15" hidden="false" customHeight="true" outlineLevel="0" collapsed="false">
      <c r="A180" s="101" t="s">
        <v>1209</v>
      </c>
      <c r="B180" s="101" t="s">
        <v>1210</v>
      </c>
      <c r="C180" s="101" t="s">
        <v>1211</v>
      </c>
      <c r="D180" s="101" t="s">
        <v>1212</v>
      </c>
      <c r="E180" s="101" t="s">
        <v>507</v>
      </c>
      <c r="F180" s="101" t="s">
        <v>515</v>
      </c>
      <c r="G180" s="101" t="s">
        <v>516</v>
      </c>
      <c r="H180" s="101" t="s">
        <v>540</v>
      </c>
      <c r="I180" s="101" t="s">
        <v>477</v>
      </c>
      <c r="J180" s="101" t="s">
        <v>133</v>
      </c>
      <c r="K180" s="101"/>
      <c r="L180" s="101" t="s">
        <v>547</v>
      </c>
      <c r="M180" s="101"/>
      <c r="N180" s="101" t="n">
        <v>1.43</v>
      </c>
      <c r="O180" s="101" t="n">
        <v>3</v>
      </c>
      <c r="P180" s="101" t="s">
        <v>113</v>
      </c>
      <c r="Q180" s="101" t="s">
        <v>113</v>
      </c>
      <c r="R180" s="101" t="s">
        <v>124</v>
      </c>
      <c r="S180" s="101" t="s">
        <v>486</v>
      </c>
      <c r="T180" s="101" t="s">
        <v>496</v>
      </c>
      <c r="U180" s="101" t="s">
        <v>124</v>
      </c>
      <c r="V180" s="101" t="n">
        <v>14.4</v>
      </c>
    </row>
    <row r="181" customFormat="false" ht="15" hidden="false" customHeight="true" outlineLevel="0" collapsed="false">
      <c r="A181" s="101" t="s">
        <v>1213</v>
      </c>
      <c r="B181" s="101" t="s">
        <v>1214</v>
      </c>
      <c r="C181" s="101" t="s">
        <v>1215</v>
      </c>
      <c r="D181" s="101" t="s">
        <v>773</v>
      </c>
      <c r="E181" s="101" t="s">
        <v>539</v>
      </c>
      <c r="F181" s="101" t="s">
        <v>492</v>
      </c>
      <c r="G181" s="101" t="s">
        <v>475</v>
      </c>
      <c r="H181" s="101" t="s">
        <v>561</v>
      </c>
      <c r="I181" s="101" t="s">
        <v>345</v>
      </c>
      <c r="J181" s="101" t="s">
        <v>118</v>
      </c>
      <c r="K181" s="101" t="s">
        <v>120</v>
      </c>
      <c r="L181" s="101" t="s">
        <v>567</v>
      </c>
      <c r="M181" s="101" t="n">
        <v>99</v>
      </c>
      <c r="N181" s="101" t="n">
        <v>1.04</v>
      </c>
      <c r="O181" s="101" t="n">
        <v>37.3</v>
      </c>
      <c r="P181" s="101" t="s">
        <v>113</v>
      </c>
      <c r="Q181" s="101" t="s">
        <v>124</v>
      </c>
      <c r="R181" s="101" t="s">
        <v>124</v>
      </c>
      <c r="S181" s="101" t="n">
        <v>3</v>
      </c>
      <c r="T181" s="101" t="s">
        <v>487</v>
      </c>
      <c r="U181" s="101" t="s">
        <v>124</v>
      </c>
      <c r="V181" s="101" t="n">
        <v>645.19</v>
      </c>
    </row>
    <row r="182" customFormat="false" ht="15" hidden="false" customHeight="true" outlineLevel="0" collapsed="false">
      <c r="A182" s="101" t="s">
        <v>1216</v>
      </c>
      <c r="B182" s="101" t="s">
        <v>1217</v>
      </c>
      <c r="C182" s="101" t="s">
        <v>1218</v>
      </c>
      <c r="D182" s="101" t="s">
        <v>737</v>
      </c>
      <c r="E182" s="101" t="s">
        <v>491</v>
      </c>
      <c r="F182" s="101" t="s">
        <v>474</v>
      </c>
      <c r="G182" s="101" t="s">
        <v>475</v>
      </c>
      <c r="H182" s="101" t="s">
        <v>561</v>
      </c>
      <c r="I182" s="101" t="s">
        <v>345</v>
      </c>
      <c r="J182" s="101" t="s">
        <v>118</v>
      </c>
      <c r="K182" s="101" t="s">
        <v>194</v>
      </c>
      <c r="L182" s="101" t="s">
        <v>1219</v>
      </c>
      <c r="M182" s="101" t="n">
        <v>43</v>
      </c>
      <c r="N182" s="101" t="n">
        <v>2.63</v>
      </c>
      <c r="O182" s="101" t="n">
        <v>6.4</v>
      </c>
      <c r="P182" s="101" t="s">
        <v>113</v>
      </c>
      <c r="Q182" s="101" t="s">
        <v>124</v>
      </c>
      <c r="R182" s="101" t="s">
        <v>124</v>
      </c>
      <c r="S182" s="101"/>
      <c r="T182" s="101" t="s">
        <v>487</v>
      </c>
      <c r="U182" s="101" t="s">
        <v>124</v>
      </c>
      <c r="V182" s="101" t="n">
        <v>110.7</v>
      </c>
    </row>
    <row r="183" customFormat="false" ht="15" hidden="false" customHeight="true" outlineLevel="0" collapsed="false">
      <c r="A183" s="101" t="s">
        <v>1220</v>
      </c>
      <c r="B183" s="101" t="s">
        <v>1221</v>
      </c>
      <c r="C183" s="101" t="s">
        <v>1222</v>
      </c>
      <c r="D183" s="101" t="s">
        <v>879</v>
      </c>
      <c r="E183" s="101" t="s">
        <v>473</v>
      </c>
      <c r="F183" s="101" t="s">
        <v>740</v>
      </c>
      <c r="G183" s="101" t="s">
        <v>560</v>
      </c>
      <c r="H183" s="101" t="s">
        <v>484</v>
      </c>
      <c r="I183" s="101" t="s">
        <v>345</v>
      </c>
      <c r="J183" s="101" t="s">
        <v>115</v>
      </c>
      <c r="K183" s="101" t="s">
        <v>116</v>
      </c>
      <c r="L183" s="101" t="s">
        <v>1075</v>
      </c>
      <c r="M183" s="101" t="n">
        <v>133</v>
      </c>
      <c r="N183" s="101" t="n">
        <v>37.82</v>
      </c>
      <c r="O183" s="101" t="n">
        <v>19.035</v>
      </c>
      <c r="P183" s="101" t="s">
        <v>113</v>
      </c>
      <c r="Q183" s="101" t="s">
        <v>113</v>
      </c>
      <c r="R183" s="101" t="s">
        <v>124</v>
      </c>
      <c r="S183" s="101" t="n">
        <v>4</v>
      </c>
      <c r="T183" s="101" t="s">
        <v>479</v>
      </c>
      <c r="U183" s="101" t="s">
        <v>124</v>
      </c>
      <c r="V183" s="101" t="n">
        <v>289.66</v>
      </c>
    </row>
    <row r="184" customFormat="false" ht="15" hidden="false" customHeight="true" outlineLevel="0" collapsed="false">
      <c r="A184" s="101" t="s">
        <v>1223</v>
      </c>
      <c r="B184" s="101" t="s">
        <v>1224</v>
      </c>
      <c r="C184" s="101" t="s">
        <v>1225</v>
      </c>
      <c r="D184" s="101" t="s">
        <v>554</v>
      </c>
      <c r="E184" s="101" t="s">
        <v>483</v>
      </c>
      <c r="F184" s="101" t="s">
        <v>492</v>
      </c>
      <c r="G184" s="101" t="s">
        <v>475</v>
      </c>
      <c r="H184" s="101" t="s">
        <v>509</v>
      </c>
      <c r="I184" s="101" t="s">
        <v>345</v>
      </c>
      <c r="J184" s="101" t="s">
        <v>115</v>
      </c>
      <c r="K184" s="101" t="s">
        <v>120</v>
      </c>
      <c r="L184" s="101" t="s">
        <v>1092</v>
      </c>
      <c r="M184" s="101" t="n">
        <v>196</v>
      </c>
      <c r="N184" s="101" t="n">
        <v>0.17</v>
      </c>
      <c r="O184" s="101" t="n">
        <v>4.6</v>
      </c>
      <c r="P184" s="101" t="s">
        <v>113</v>
      </c>
      <c r="Q184" s="101" t="s">
        <v>124</v>
      </c>
      <c r="R184" s="101" t="s">
        <v>113</v>
      </c>
      <c r="S184" s="101"/>
      <c r="T184" s="101" t="s">
        <v>496</v>
      </c>
      <c r="U184" s="101" t="s">
        <v>124</v>
      </c>
      <c r="V184" s="101" t="n">
        <v>70</v>
      </c>
    </row>
    <row r="185" customFormat="false" ht="15" hidden="false" customHeight="true" outlineLevel="0" collapsed="false">
      <c r="A185" s="101" t="s">
        <v>1226</v>
      </c>
      <c r="B185" s="101" t="s">
        <v>1227</v>
      </c>
      <c r="C185" s="101" t="s">
        <v>1228</v>
      </c>
      <c r="D185" s="102" t="n">
        <v>45894.5090277778</v>
      </c>
      <c r="E185" s="101" t="s">
        <v>491</v>
      </c>
      <c r="F185" s="101" t="s">
        <v>474</v>
      </c>
      <c r="G185" s="101" t="s">
        <v>475</v>
      </c>
      <c r="H185" s="101" t="s">
        <v>476</v>
      </c>
      <c r="I185" s="101" t="s">
        <v>477</v>
      </c>
      <c r="J185" s="101" t="s">
        <v>115</v>
      </c>
      <c r="K185" s="101" t="s">
        <v>112</v>
      </c>
      <c r="L185" s="101" t="s">
        <v>1044</v>
      </c>
      <c r="M185" s="101" t="n">
        <v>245</v>
      </c>
      <c r="N185" s="101" t="n">
        <v>15.18</v>
      </c>
      <c r="O185" s="101" t="n">
        <v>9.045</v>
      </c>
      <c r="P185" s="101" t="s">
        <v>113</v>
      </c>
      <c r="Q185" s="101" t="s">
        <v>113</v>
      </c>
      <c r="R185" s="101" t="s">
        <v>124</v>
      </c>
      <c r="S185" s="101" t="s">
        <v>486</v>
      </c>
      <c r="T185" s="101" t="s">
        <v>479</v>
      </c>
      <c r="U185" s="101" t="s">
        <v>124</v>
      </c>
      <c r="V185" s="101" t="n">
        <v>137.64</v>
      </c>
    </row>
    <row r="186" customFormat="false" ht="15" hidden="false" customHeight="true" outlineLevel="0" collapsed="false">
      <c r="A186" s="101" t="s">
        <v>1229</v>
      </c>
      <c r="B186" s="101" t="s">
        <v>1230</v>
      </c>
      <c r="C186" s="101" t="s">
        <v>1231</v>
      </c>
      <c r="D186" s="101" t="s">
        <v>1232</v>
      </c>
      <c r="E186" s="101" t="s">
        <v>514</v>
      </c>
      <c r="F186" s="101" t="s">
        <v>474</v>
      </c>
      <c r="G186" s="101" t="s">
        <v>475</v>
      </c>
      <c r="H186" s="101" t="s">
        <v>561</v>
      </c>
      <c r="I186" s="101" t="s">
        <v>345</v>
      </c>
      <c r="J186" s="101" t="s">
        <v>123</v>
      </c>
      <c r="K186" s="101" t="s">
        <v>116</v>
      </c>
      <c r="L186" s="101" t="s">
        <v>1233</v>
      </c>
      <c r="M186" s="101" t="n">
        <v>19354</v>
      </c>
      <c r="N186" s="101" t="n">
        <v>2.73</v>
      </c>
      <c r="O186" s="101" t="n">
        <v>41.1</v>
      </c>
      <c r="P186" s="101" t="s">
        <v>124</v>
      </c>
      <c r="Q186" s="101" t="s">
        <v>113</v>
      </c>
      <c r="R186" s="101" t="s">
        <v>124</v>
      </c>
      <c r="S186" s="101" t="n">
        <v>4</v>
      </c>
      <c r="T186" s="101" t="s">
        <v>479</v>
      </c>
      <c r="U186" s="101" t="s">
        <v>124</v>
      </c>
      <c r="V186" s="101" t="n">
        <v>308.25</v>
      </c>
    </row>
    <row r="187" customFormat="false" ht="15" hidden="false" customHeight="true" outlineLevel="0" collapsed="false">
      <c r="A187" s="101" t="s">
        <v>1234</v>
      </c>
      <c r="B187" s="101" t="s">
        <v>1235</v>
      </c>
      <c r="C187" s="101" t="s">
        <v>1236</v>
      </c>
      <c r="D187" s="101" t="s">
        <v>525</v>
      </c>
      <c r="E187" s="101" t="s">
        <v>514</v>
      </c>
      <c r="F187" s="101" t="s">
        <v>515</v>
      </c>
      <c r="G187" s="101" t="s">
        <v>516</v>
      </c>
      <c r="H187" s="101" t="s">
        <v>880</v>
      </c>
      <c r="I187" s="101" t="s">
        <v>881</v>
      </c>
      <c r="J187" s="101" t="s">
        <v>115</v>
      </c>
      <c r="K187" s="101" t="s">
        <v>120</v>
      </c>
      <c r="L187" s="101" t="s">
        <v>1237</v>
      </c>
      <c r="M187" s="101" t="n">
        <v>73</v>
      </c>
      <c r="N187" s="101" t="n">
        <v>1.4</v>
      </c>
      <c r="O187" s="101" t="n">
        <v>5.865</v>
      </c>
      <c r="P187" s="101" t="s">
        <v>113</v>
      </c>
      <c r="Q187" s="101" t="s">
        <v>113</v>
      </c>
      <c r="R187" s="101" t="s">
        <v>124</v>
      </c>
      <c r="S187" s="101" t="n">
        <v>5</v>
      </c>
      <c r="T187" s="101" t="s">
        <v>496</v>
      </c>
      <c r="U187" s="101" t="s">
        <v>124</v>
      </c>
      <c r="V187" s="101" t="n">
        <v>89.25</v>
      </c>
    </row>
    <row r="188" customFormat="false" ht="15" hidden="false" customHeight="true" outlineLevel="0" collapsed="false">
      <c r="A188" s="101" t="s">
        <v>1238</v>
      </c>
      <c r="B188" s="101" t="s">
        <v>1239</v>
      </c>
      <c r="C188" s="101" t="s">
        <v>1240</v>
      </c>
      <c r="D188" s="101" t="s">
        <v>1241</v>
      </c>
      <c r="E188" s="101" t="s">
        <v>539</v>
      </c>
      <c r="F188" s="101" t="s">
        <v>530</v>
      </c>
      <c r="G188" s="101" t="s">
        <v>516</v>
      </c>
      <c r="H188" s="101" t="s">
        <v>644</v>
      </c>
      <c r="I188" s="101" t="s">
        <v>645</v>
      </c>
      <c r="J188" s="101" t="s">
        <v>118</v>
      </c>
      <c r="K188" s="101" t="s">
        <v>120</v>
      </c>
      <c r="L188" s="101" t="s">
        <v>1168</v>
      </c>
      <c r="M188" s="101" t="n">
        <v>57</v>
      </c>
      <c r="N188" s="101" t="n">
        <v>1.21</v>
      </c>
      <c r="O188" s="101" t="n">
        <v>18.36</v>
      </c>
      <c r="P188" s="101" t="s">
        <v>113</v>
      </c>
      <c r="Q188" s="101" t="s">
        <v>113</v>
      </c>
      <c r="R188" s="101" t="s">
        <v>124</v>
      </c>
      <c r="S188" s="101" t="n">
        <v>4</v>
      </c>
      <c r="T188" s="101" t="s">
        <v>479</v>
      </c>
      <c r="U188" s="101" t="s">
        <v>124</v>
      </c>
      <c r="V188" s="101" t="n">
        <v>317.58</v>
      </c>
    </row>
    <row r="189" customFormat="false" ht="15" hidden="false" customHeight="true" outlineLevel="0" collapsed="false">
      <c r="A189" s="101" t="s">
        <v>1242</v>
      </c>
      <c r="B189" s="101" t="s">
        <v>1243</v>
      </c>
      <c r="C189" s="101" t="s">
        <v>1244</v>
      </c>
      <c r="D189" s="101" t="s">
        <v>833</v>
      </c>
      <c r="E189" s="101" t="s">
        <v>539</v>
      </c>
      <c r="F189" s="101" t="s">
        <v>515</v>
      </c>
      <c r="G189" s="101" t="s">
        <v>516</v>
      </c>
      <c r="H189" s="101" t="s">
        <v>540</v>
      </c>
      <c r="I189" s="101" t="s">
        <v>477</v>
      </c>
      <c r="J189" s="101" t="s">
        <v>123</v>
      </c>
      <c r="K189" s="101" t="s">
        <v>116</v>
      </c>
      <c r="L189" s="101" t="s">
        <v>562</v>
      </c>
      <c r="M189" s="101" t="n">
        <v>10479</v>
      </c>
      <c r="N189" s="101" t="n">
        <v>3.47</v>
      </c>
      <c r="O189" s="101" t="n">
        <v>13.6</v>
      </c>
      <c r="P189" s="101" t="s">
        <v>113</v>
      </c>
      <c r="Q189" s="101" t="s">
        <v>113</v>
      </c>
      <c r="R189" s="101" t="s">
        <v>124</v>
      </c>
      <c r="S189" s="101"/>
      <c r="T189" s="101" t="s">
        <v>479</v>
      </c>
      <c r="U189" s="101" t="s">
        <v>124</v>
      </c>
      <c r="V189" s="101" t="n">
        <v>102</v>
      </c>
    </row>
    <row r="190" customFormat="false" ht="15" hidden="false" customHeight="true" outlineLevel="0" collapsed="false">
      <c r="A190" s="101" t="s">
        <v>1245</v>
      </c>
      <c r="B190" s="101" t="s">
        <v>1246</v>
      </c>
      <c r="C190" s="101" t="s">
        <v>1247</v>
      </c>
      <c r="D190" s="101" t="s">
        <v>1248</v>
      </c>
      <c r="E190" s="101" t="s">
        <v>507</v>
      </c>
      <c r="F190" s="101" t="s">
        <v>474</v>
      </c>
      <c r="G190" s="101" t="s">
        <v>475</v>
      </c>
      <c r="H190" s="101" t="s">
        <v>493</v>
      </c>
      <c r="I190" s="101" t="s">
        <v>494</v>
      </c>
      <c r="J190" s="101" t="s">
        <v>115</v>
      </c>
      <c r="K190" s="101" t="s">
        <v>112</v>
      </c>
      <c r="L190" s="101" t="s">
        <v>829</v>
      </c>
      <c r="M190" s="101" t="n">
        <v>269</v>
      </c>
      <c r="N190" s="101" t="n">
        <v>1.41</v>
      </c>
      <c r="O190" s="101" t="n">
        <v>18.105</v>
      </c>
      <c r="P190" s="101" t="s">
        <v>113</v>
      </c>
      <c r="Q190" s="101" t="s">
        <v>113</v>
      </c>
      <c r="R190" s="101" t="s">
        <v>124</v>
      </c>
      <c r="S190" s="101" t="s">
        <v>486</v>
      </c>
      <c r="T190" s="101" t="s">
        <v>496</v>
      </c>
      <c r="U190" s="101" t="s">
        <v>124</v>
      </c>
      <c r="V190" s="101" t="n">
        <v>275.51</v>
      </c>
    </row>
    <row r="191" customFormat="false" ht="15" hidden="false" customHeight="true" outlineLevel="0" collapsed="false">
      <c r="A191" s="101" t="s">
        <v>1249</v>
      </c>
      <c r="B191" s="101" t="s">
        <v>1250</v>
      </c>
      <c r="C191" s="101" t="s">
        <v>1251</v>
      </c>
      <c r="D191" s="101" t="s">
        <v>1252</v>
      </c>
      <c r="E191" s="101" t="s">
        <v>473</v>
      </c>
      <c r="F191" s="101" t="s">
        <v>474</v>
      </c>
      <c r="G191" s="101" t="s">
        <v>475</v>
      </c>
      <c r="H191" s="101" t="s">
        <v>592</v>
      </c>
      <c r="I191" s="101" t="s">
        <v>593</v>
      </c>
      <c r="J191" s="101" t="s">
        <v>115</v>
      </c>
      <c r="K191" s="101" t="s">
        <v>194</v>
      </c>
      <c r="L191" s="101" t="s">
        <v>984</v>
      </c>
      <c r="M191" s="101" t="n">
        <v>235</v>
      </c>
      <c r="N191" s="101" t="n">
        <v>0.82</v>
      </c>
      <c r="O191" s="101" t="n">
        <v>5.6</v>
      </c>
      <c r="P191" s="101" t="s">
        <v>113</v>
      </c>
      <c r="Q191" s="101" t="s">
        <v>113</v>
      </c>
      <c r="R191" s="101" t="s">
        <v>124</v>
      </c>
      <c r="S191" s="101" t="n">
        <v>5</v>
      </c>
      <c r="T191" s="101" t="s">
        <v>496</v>
      </c>
      <c r="U191" s="101" t="s">
        <v>124</v>
      </c>
      <c r="V191" s="101" t="n">
        <v>85.22</v>
      </c>
    </row>
    <row r="192" customFormat="false" ht="15" hidden="false" customHeight="true" outlineLevel="0" collapsed="false">
      <c r="A192" s="101" t="s">
        <v>1253</v>
      </c>
      <c r="B192" s="101" t="s">
        <v>1254</v>
      </c>
      <c r="C192" s="101" t="s">
        <v>1255</v>
      </c>
      <c r="D192" s="101" t="s">
        <v>1256</v>
      </c>
      <c r="E192" s="101" t="s">
        <v>507</v>
      </c>
      <c r="F192" s="101" t="s">
        <v>474</v>
      </c>
      <c r="G192" s="101" t="s">
        <v>475</v>
      </c>
      <c r="H192" s="101" t="s">
        <v>476</v>
      </c>
      <c r="I192" s="101" t="s">
        <v>477</v>
      </c>
      <c r="J192" s="101" t="s">
        <v>118</v>
      </c>
      <c r="K192" s="101" t="s">
        <v>199</v>
      </c>
      <c r="L192" s="101" t="s">
        <v>1036</v>
      </c>
      <c r="M192" s="101" t="n">
        <v>117</v>
      </c>
      <c r="N192" s="101" t="n">
        <v>21.07</v>
      </c>
      <c r="O192" s="101" t="n">
        <v>46.035</v>
      </c>
      <c r="P192" s="101" t="s">
        <v>113</v>
      </c>
      <c r="Q192" s="101" t="s">
        <v>113</v>
      </c>
      <c r="R192" s="101" t="s">
        <v>124</v>
      </c>
      <c r="S192" s="101" t="n">
        <v>4</v>
      </c>
      <c r="T192" s="101" t="s">
        <v>479</v>
      </c>
      <c r="U192" s="101" t="s">
        <v>124</v>
      </c>
      <c r="V192" s="101" t="n">
        <v>796.28</v>
      </c>
    </row>
    <row r="193" customFormat="false" ht="15" hidden="false" customHeight="true" outlineLevel="0" collapsed="false">
      <c r="A193" s="101" t="s">
        <v>1257</v>
      </c>
      <c r="B193" s="101" t="s">
        <v>1258</v>
      </c>
      <c r="C193" s="101" t="s">
        <v>1259</v>
      </c>
      <c r="D193" s="101" t="s">
        <v>1260</v>
      </c>
      <c r="E193" s="101" t="s">
        <v>514</v>
      </c>
      <c r="F193" s="101" t="s">
        <v>530</v>
      </c>
      <c r="G193" s="101" t="s">
        <v>516</v>
      </c>
      <c r="H193" s="101" t="s">
        <v>561</v>
      </c>
      <c r="I193" s="101" t="s">
        <v>345</v>
      </c>
      <c r="J193" s="101" t="s">
        <v>118</v>
      </c>
      <c r="K193" s="101" t="s">
        <v>120</v>
      </c>
      <c r="L193" s="101" t="s">
        <v>1261</v>
      </c>
      <c r="M193" s="101" t="n">
        <v>104</v>
      </c>
      <c r="N193" s="101" t="n">
        <v>3.08</v>
      </c>
      <c r="O193" s="101" t="n">
        <v>32.1</v>
      </c>
      <c r="P193" s="101" t="s">
        <v>113</v>
      </c>
      <c r="Q193" s="101" t="s">
        <v>124</v>
      </c>
      <c r="R193" s="101" t="s">
        <v>124</v>
      </c>
      <c r="S193" s="101" t="n">
        <v>2</v>
      </c>
      <c r="T193" s="101" t="s">
        <v>616</v>
      </c>
      <c r="U193" s="101" t="s">
        <v>124</v>
      </c>
      <c r="V193" s="101" t="n">
        <v>555.24</v>
      </c>
    </row>
    <row r="194" customFormat="false" ht="15" hidden="false" customHeight="true" outlineLevel="0" collapsed="false">
      <c r="A194" s="101" t="s">
        <v>1262</v>
      </c>
      <c r="B194" s="101" t="s">
        <v>1263</v>
      </c>
      <c r="C194" s="101" t="s">
        <v>898</v>
      </c>
      <c r="D194" s="102" t="n">
        <v>45847.7020833333</v>
      </c>
      <c r="E194" s="101" t="s">
        <v>473</v>
      </c>
      <c r="F194" s="101" t="s">
        <v>566</v>
      </c>
      <c r="G194" s="101" t="s">
        <v>546</v>
      </c>
      <c r="H194" s="101" t="s">
        <v>509</v>
      </c>
      <c r="I194" s="101" t="s">
        <v>345</v>
      </c>
      <c r="J194" s="101" t="s">
        <v>118</v>
      </c>
      <c r="K194" s="101" t="s">
        <v>112</v>
      </c>
      <c r="L194" s="101" t="s">
        <v>1264</v>
      </c>
      <c r="M194" s="101" t="n">
        <v>68</v>
      </c>
      <c r="N194" s="101" t="n">
        <v>1.28</v>
      </c>
      <c r="O194" s="101" t="n">
        <v>14</v>
      </c>
      <c r="P194" s="101" t="s">
        <v>113</v>
      </c>
      <c r="Q194" s="101" t="s">
        <v>124</v>
      </c>
      <c r="R194" s="101" t="s">
        <v>113</v>
      </c>
      <c r="S194" s="101" t="n">
        <v>2</v>
      </c>
      <c r="T194" s="101" t="s">
        <v>616</v>
      </c>
      <c r="U194" s="101" t="s">
        <v>124</v>
      </c>
      <c r="V194" s="101" t="n">
        <v>242.16</v>
      </c>
    </row>
    <row r="195" customFormat="false" ht="15" hidden="false" customHeight="true" outlineLevel="0" collapsed="false">
      <c r="A195" s="101" t="s">
        <v>1265</v>
      </c>
      <c r="B195" s="101" t="s">
        <v>1266</v>
      </c>
      <c r="C195" s="101" t="s">
        <v>1267</v>
      </c>
      <c r="D195" s="101" t="s">
        <v>1252</v>
      </c>
      <c r="E195" s="101" t="s">
        <v>473</v>
      </c>
      <c r="F195" s="101" t="s">
        <v>508</v>
      </c>
      <c r="G195" s="101" t="s">
        <v>475</v>
      </c>
      <c r="H195" s="101" t="s">
        <v>561</v>
      </c>
      <c r="I195" s="101" t="s">
        <v>345</v>
      </c>
      <c r="J195" s="101" t="s">
        <v>115</v>
      </c>
      <c r="K195" s="101" t="s">
        <v>112</v>
      </c>
      <c r="L195" s="101" t="s">
        <v>762</v>
      </c>
      <c r="M195" s="101" t="n">
        <v>150</v>
      </c>
      <c r="N195" s="101" t="n">
        <v>1.67</v>
      </c>
      <c r="O195" s="101" t="n">
        <v>8.6</v>
      </c>
      <c r="P195" s="101" t="s">
        <v>113</v>
      </c>
      <c r="Q195" s="101" t="s">
        <v>113</v>
      </c>
      <c r="R195" s="101" t="s">
        <v>124</v>
      </c>
      <c r="S195" s="101" t="s">
        <v>486</v>
      </c>
      <c r="T195" s="101" t="s">
        <v>479</v>
      </c>
      <c r="U195" s="101" t="s">
        <v>124</v>
      </c>
      <c r="V195" s="101" t="n">
        <v>130.87</v>
      </c>
    </row>
    <row r="196" customFormat="false" ht="15" hidden="false" customHeight="true" outlineLevel="0" collapsed="false">
      <c r="A196" s="101" t="s">
        <v>1268</v>
      </c>
      <c r="B196" s="101" t="s">
        <v>1269</v>
      </c>
      <c r="C196" s="101" t="s">
        <v>1270</v>
      </c>
      <c r="D196" s="101" t="s">
        <v>638</v>
      </c>
      <c r="E196" s="101" t="s">
        <v>473</v>
      </c>
      <c r="F196" s="101" t="s">
        <v>566</v>
      </c>
      <c r="G196" s="101" t="s">
        <v>546</v>
      </c>
      <c r="H196" s="101" t="s">
        <v>561</v>
      </c>
      <c r="I196" s="101" t="s">
        <v>345</v>
      </c>
      <c r="J196" s="101" t="s">
        <v>118</v>
      </c>
      <c r="K196" s="101" t="s">
        <v>120</v>
      </c>
      <c r="L196" s="101" t="s">
        <v>1116</v>
      </c>
      <c r="M196" s="101" t="n">
        <v>17</v>
      </c>
      <c r="N196" s="101" t="n">
        <v>7.58</v>
      </c>
      <c r="O196" s="101" t="n">
        <v>12.6</v>
      </c>
      <c r="P196" s="101" t="s">
        <v>113</v>
      </c>
      <c r="Q196" s="101" t="s">
        <v>113</v>
      </c>
      <c r="R196" s="101" t="s">
        <v>124</v>
      </c>
      <c r="S196" s="101" t="n">
        <v>3</v>
      </c>
      <c r="T196" s="101" t="s">
        <v>487</v>
      </c>
      <c r="U196" s="101" t="s">
        <v>124</v>
      </c>
      <c r="V196" s="101" t="n">
        <v>217.95</v>
      </c>
    </row>
    <row r="197" customFormat="false" ht="15" hidden="false" customHeight="true" outlineLevel="0" collapsed="false">
      <c r="A197" s="101" t="s">
        <v>1271</v>
      </c>
      <c r="B197" s="101" t="s">
        <v>1272</v>
      </c>
      <c r="C197" s="101" t="s">
        <v>1273</v>
      </c>
      <c r="D197" s="101" t="s">
        <v>1274</v>
      </c>
      <c r="E197" s="101" t="s">
        <v>483</v>
      </c>
      <c r="F197" s="101" t="s">
        <v>515</v>
      </c>
      <c r="G197" s="101" t="s">
        <v>516</v>
      </c>
      <c r="H197" s="101" t="s">
        <v>561</v>
      </c>
      <c r="I197" s="101" t="s">
        <v>345</v>
      </c>
      <c r="J197" s="101" t="s">
        <v>111</v>
      </c>
      <c r="K197" s="101" t="s">
        <v>116</v>
      </c>
      <c r="L197" s="101" t="s">
        <v>1275</v>
      </c>
      <c r="M197" s="101" t="n">
        <v>183</v>
      </c>
      <c r="N197" s="101" t="n">
        <v>3.88</v>
      </c>
      <c r="O197" s="101" t="n">
        <v>16.3</v>
      </c>
      <c r="P197" s="101" t="s">
        <v>113</v>
      </c>
      <c r="Q197" s="101" t="s">
        <v>113</v>
      </c>
      <c r="R197" s="101" t="s">
        <v>124</v>
      </c>
      <c r="S197" s="101"/>
      <c r="T197" s="101" t="s">
        <v>496</v>
      </c>
      <c r="U197" s="101" t="s">
        <v>124</v>
      </c>
      <c r="V197" s="101" t="n">
        <v>229.87</v>
      </c>
    </row>
    <row r="198" customFormat="false" ht="15" hidden="false" customHeight="true" outlineLevel="0" collapsed="false">
      <c r="A198" s="101" t="s">
        <v>1276</v>
      </c>
      <c r="B198" s="101" t="s">
        <v>1277</v>
      </c>
      <c r="C198" s="101" t="s">
        <v>1278</v>
      </c>
      <c r="D198" s="101" t="s">
        <v>1196</v>
      </c>
      <c r="E198" s="101" t="s">
        <v>483</v>
      </c>
      <c r="F198" s="101" t="s">
        <v>566</v>
      </c>
      <c r="G198" s="101" t="s">
        <v>546</v>
      </c>
      <c r="H198" s="101" t="s">
        <v>484</v>
      </c>
      <c r="I198" s="101" t="s">
        <v>345</v>
      </c>
      <c r="J198" s="101" t="s">
        <v>133</v>
      </c>
      <c r="K198" s="101"/>
      <c r="L198" s="101" t="s">
        <v>547</v>
      </c>
      <c r="M198" s="101" t="n">
        <v>5</v>
      </c>
      <c r="N198" s="101" t="n">
        <v>5.55</v>
      </c>
      <c r="O198" s="101" t="n">
        <v>2.835</v>
      </c>
      <c r="P198" s="101" t="s">
        <v>113</v>
      </c>
      <c r="Q198" s="101" t="s">
        <v>124</v>
      </c>
      <c r="R198" s="101" t="s">
        <v>113</v>
      </c>
      <c r="S198" s="101" t="s">
        <v>486</v>
      </c>
      <c r="T198" s="101" t="s">
        <v>616</v>
      </c>
      <c r="U198" s="101" t="s">
        <v>124</v>
      </c>
      <c r="V198" s="101" t="n">
        <v>13.61</v>
      </c>
    </row>
    <row r="199" customFormat="false" ht="15" hidden="false" customHeight="true" outlineLevel="0" collapsed="false">
      <c r="A199" s="101" t="s">
        <v>1279</v>
      </c>
      <c r="B199" s="101" t="s">
        <v>1280</v>
      </c>
      <c r="C199" s="101" t="s">
        <v>1281</v>
      </c>
      <c r="D199" s="101" t="s">
        <v>1260</v>
      </c>
      <c r="E199" s="101" t="s">
        <v>514</v>
      </c>
      <c r="F199" s="101" t="s">
        <v>515</v>
      </c>
      <c r="G199" s="101" t="s">
        <v>516</v>
      </c>
      <c r="H199" s="101" t="s">
        <v>644</v>
      </c>
      <c r="I199" s="101" t="s">
        <v>645</v>
      </c>
      <c r="J199" s="101" t="s">
        <v>118</v>
      </c>
      <c r="K199" s="101" t="s">
        <v>120</v>
      </c>
      <c r="L199" s="101" t="s">
        <v>907</v>
      </c>
      <c r="M199" s="101" t="n">
        <v>88</v>
      </c>
      <c r="N199" s="101" t="n">
        <v>0.76</v>
      </c>
      <c r="O199" s="101" t="n">
        <v>22.95</v>
      </c>
      <c r="P199" s="101" t="s">
        <v>113</v>
      </c>
      <c r="Q199" s="101" t="s">
        <v>124</v>
      </c>
      <c r="R199" s="101" t="s">
        <v>113</v>
      </c>
      <c r="S199" s="101"/>
      <c r="T199" s="101" t="s">
        <v>616</v>
      </c>
      <c r="U199" s="101" t="s">
        <v>124</v>
      </c>
      <c r="V199" s="101" t="n">
        <v>396.97</v>
      </c>
    </row>
    <row r="200" customFormat="false" ht="15" hidden="false" customHeight="true" outlineLevel="0" collapsed="false">
      <c r="A200" s="101" t="s">
        <v>1282</v>
      </c>
      <c r="B200" s="101" t="s">
        <v>1283</v>
      </c>
      <c r="C200" s="101" t="s">
        <v>1284</v>
      </c>
      <c r="D200" s="101" t="s">
        <v>1285</v>
      </c>
      <c r="E200" s="101" t="s">
        <v>514</v>
      </c>
      <c r="F200" s="101" t="s">
        <v>740</v>
      </c>
      <c r="G200" s="101" t="s">
        <v>560</v>
      </c>
      <c r="H200" s="101" t="s">
        <v>509</v>
      </c>
      <c r="I200" s="101" t="s">
        <v>345</v>
      </c>
      <c r="J200" s="101" t="s">
        <v>115</v>
      </c>
      <c r="K200" s="101" t="s">
        <v>120</v>
      </c>
      <c r="L200" s="101" t="s">
        <v>518</v>
      </c>
      <c r="M200" s="101" t="n">
        <v>230</v>
      </c>
      <c r="N200" s="101" t="n">
        <v>1.59</v>
      </c>
      <c r="O200" s="101" t="n">
        <v>5.8</v>
      </c>
      <c r="P200" s="101" t="s">
        <v>113</v>
      </c>
      <c r="Q200" s="101" t="s">
        <v>113</v>
      </c>
      <c r="R200" s="101" t="s">
        <v>124</v>
      </c>
      <c r="S200" s="101" t="s">
        <v>486</v>
      </c>
      <c r="T200" s="101" t="s">
        <v>496</v>
      </c>
      <c r="U200" s="101" t="s">
        <v>124</v>
      </c>
      <c r="V200" s="101" t="n">
        <v>88.26</v>
      </c>
    </row>
    <row r="201" customFormat="false" ht="15" hidden="false" customHeight="true" outlineLevel="0" collapsed="false">
      <c r="A201" s="101" t="s">
        <v>1286</v>
      </c>
      <c r="B201" s="101" t="s">
        <v>1287</v>
      </c>
      <c r="C201" s="101" t="s">
        <v>1288</v>
      </c>
      <c r="D201" s="101" t="s">
        <v>1289</v>
      </c>
      <c r="E201" s="101" t="s">
        <v>483</v>
      </c>
      <c r="F201" s="101" t="s">
        <v>508</v>
      </c>
      <c r="G201" s="101" t="s">
        <v>475</v>
      </c>
      <c r="H201" s="101" t="s">
        <v>476</v>
      </c>
      <c r="I201" s="101" t="s">
        <v>477</v>
      </c>
      <c r="J201" s="101" t="s">
        <v>118</v>
      </c>
      <c r="K201" s="101" t="s">
        <v>120</v>
      </c>
      <c r="L201" s="101" t="s">
        <v>733</v>
      </c>
      <c r="M201" s="101" t="n">
        <v>118</v>
      </c>
      <c r="N201" s="101" t="n">
        <v>0.95</v>
      </c>
      <c r="O201" s="101" t="n">
        <v>9.585</v>
      </c>
      <c r="P201" s="101" t="s">
        <v>113</v>
      </c>
      <c r="Q201" s="101" t="s">
        <v>113</v>
      </c>
      <c r="R201" s="101" t="s">
        <v>124</v>
      </c>
      <c r="S201" s="101" t="n">
        <v>4</v>
      </c>
      <c r="T201" s="101" t="s">
        <v>479</v>
      </c>
      <c r="U201" s="101" t="s">
        <v>124</v>
      </c>
      <c r="V201" s="101" t="n">
        <v>165.79</v>
      </c>
    </row>
    <row r="202" customFormat="false" ht="15" hidden="false" customHeight="true" outlineLevel="0" collapsed="false">
      <c r="A202" s="101" t="s">
        <v>1290</v>
      </c>
      <c r="B202" s="101" t="s">
        <v>1291</v>
      </c>
      <c r="C202" s="101" t="s">
        <v>1292</v>
      </c>
      <c r="D202" s="101" t="s">
        <v>499</v>
      </c>
      <c r="E202" s="101" t="s">
        <v>500</v>
      </c>
      <c r="F202" s="101" t="s">
        <v>545</v>
      </c>
      <c r="G202" s="101" t="s">
        <v>546</v>
      </c>
      <c r="H202" s="101" t="s">
        <v>493</v>
      </c>
      <c r="I202" s="101" t="s">
        <v>494</v>
      </c>
      <c r="J202" s="101" t="s">
        <v>115</v>
      </c>
      <c r="K202" s="101" t="s">
        <v>199</v>
      </c>
      <c r="L202" s="101" t="s">
        <v>709</v>
      </c>
      <c r="M202" s="101" t="n">
        <v>210</v>
      </c>
      <c r="N202" s="101" t="n">
        <v>7.76</v>
      </c>
      <c r="O202" s="101" t="n">
        <v>6.375</v>
      </c>
      <c r="P202" s="101" t="s">
        <v>113</v>
      </c>
      <c r="Q202" s="101" t="s">
        <v>113</v>
      </c>
      <c r="R202" s="101" t="s">
        <v>124</v>
      </c>
      <c r="S202" s="101" t="n">
        <v>5</v>
      </c>
      <c r="T202" s="101" t="s">
        <v>496</v>
      </c>
      <c r="U202" s="101" t="s">
        <v>124</v>
      </c>
      <c r="V202" s="101" t="n">
        <v>97.01</v>
      </c>
    </row>
    <row r="203" customFormat="false" ht="15" hidden="false" customHeight="true" outlineLevel="0" collapsed="false">
      <c r="A203" s="101" t="s">
        <v>1293</v>
      </c>
      <c r="B203" s="101" t="s">
        <v>1294</v>
      </c>
      <c r="C203" s="101" t="s">
        <v>1295</v>
      </c>
      <c r="D203" s="101" t="s">
        <v>1134</v>
      </c>
      <c r="E203" s="101" t="s">
        <v>473</v>
      </c>
      <c r="F203" s="101" t="s">
        <v>508</v>
      </c>
      <c r="G203" s="101" t="s">
        <v>475</v>
      </c>
      <c r="H203" s="101" t="s">
        <v>476</v>
      </c>
      <c r="I203" s="101" t="s">
        <v>477</v>
      </c>
      <c r="J203" s="101" t="s">
        <v>133</v>
      </c>
      <c r="K203" s="101"/>
      <c r="L203" s="101" t="s">
        <v>547</v>
      </c>
      <c r="M203" s="101" t="n">
        <v>27</v>
      </c>
      <c r="N203" s="101" t="n">
        <v>8.13</v>
      </c>
      <c r="O203" s="101" t="n">
        <v>1.62</v>
      </c>
      <c r="P203" s="101" t="s">
        <v>113</v>
      </c>
      <c r="Q203" s="101" t="s">
        <v>113</v>
      </c>
      <c r="R203" s="101" t="s">
        <v>124</v>
      </c>
      <c r="S203" s="101" t="n">
        <v>4</v>
      </c>
      <c r="T203" s="101" t="s">
        <v>479</v>
      </c>
      <c r="U203" s="101" t="s">
        <v>124</v>
      </c>
      <c r="V203" s="101" t="n">
        <v>7.78</v>
      </c>
    </row>
    <row r="204" customFormat="false" ht="15" hidden="false" customHeight="true" outlineLevel="0" collapsed="false">
      <c r="A204" s="101" t="s">
        <v>1296</v>
      </c>
      <c r="B204" s="101" t="s">
        <v>805</v>
      </c>
      <c r="C204" s="101" t="s">
        <v>806</v>
      </c>
      <c r="D204" s="101" t="s">
        <v>983</v>
      </c>
      <c r="E204" s="101" t="s">
        <v>473</v>
      </c>
      <c r="F204" s="101" t="s">
        <v>508</v>
      </c>
      <c r="G204" s="101" t="s">
        <v>475</v>
      </c>
      <c r="H204" s="101" t="s">
        <v>484</v>
      </c>
      <c r="I204" s="101" t="s">
        <v>345</v>
      </c>
      <c r="J204" s="101" t="s">
        <v>115</v>
      </c>
      <c r="K204" s="101" t="s">
        <v>116</v>
      </c>
      <c r="L204" s="101" t="s">
        <v>946</v>
      </c>
      <c r="M204" s="101" t="n">
        <v>206</v>
      </c>
      <c r="N204" s="101" t="n">
        <v>1.94</v>
      </c>
      <c r="O204" s="101" t="n">
        <v>14.175</v>
      </c>
      <c r="P204" s="101" t="s">
        <v>113</v>
      </c>
      <c r="Q204" s="101" t="s">
        <v>124</v>
      </c>
      <c r="R204" s="101" t="s">
        <v>113</v>
      </c>
      <c r="S204" s="101" t="n">
        <v>2</v>
      </c>
      <c r="T204" s="101" t="s">
        <v>616</v>
      </c>
      <c r="U204" s="101" t="s">
        <v>124</v>
      </c>
      <c r="V204" s="101" t="n">
        <v>215.71</v>
      </c>
    </row>
    <row r="205" customFormat="false" ht="15" hidden="false" customHeight="true" outlineLevel="0" collapsed="false">
      <c r="A205" s="101" t="s">
        <v>1297</v>
      </c>
      <c r="B205" s="101" t="s">
        <v>1298</v>
      </c>
      <c r="C205" s="101" t="s">
        <v>1299</v>
      </c>
      <c r="D205" s="101" t="s">
        <v>525</v>
      </c>
      <c r="E205" s="101" t="s">
        <v>514</v>
      </c>
      <c r="F205" s="101" t="s">
        <v>474</v>
      </c>
      <c r="G205" s="101" t="s">
        <v>475</v>
      </c>
      <c r="H205" s="101" t="s">
        <v>517</v>
      </c>
      <c r="I205" s="101" t="s">
        <v>345</v>
      </c>
      <c r="J205" s="101" t="s">
        <v>115</v>
      </c>
      <c r="K205" s="101" t="s">
        <v>116</v>
      </c>
      <c r="L205" s="101" t="s">
        <v>946</v>
      </c>
      <c r="M205" s="101" t="n">
        <v>53</v>
      </c>
      <c r="N205" s="101" t="n">
        <v>3.23</v>
      </c>
      <c r="O205" s="101" t="n">
        <v>7.7</v>
      </c>
      <c r="P205" s="101" t="s">
        <v>113</v>
      </c>
      <c r="Q205" s="101" t="s">
        <v>113</v>
      </c>
      <c r="R205" s="101" t="s">
        <v>124</v>
      </c>
      <c r="S205" s="101" t="n">
        <v>4</v>
      </c>
      <c r="T205" s="101" t="s">
        <v>479</v>
      </c>
      <c r="U205" s="101" t="s">
        <v>124</v>
      </c>
      <c r="V205" s="101" t="n">
        <v>117.17</v>
      </c>
    </row>
    <row r="206" customFormat="false" ht="15" hidden="false" customHeight="true" outlineLevel="0" collapsed="false">
      <c r="A206" s="101" t="s">
        <v>1300</v>
      </c>
      <c r="B206" s="101" t="s">
        <v>1301</v>
      </c>
      <c r="C206" s="101" t="s">
        <v>1302</v>
      </c>
      <c r="D206" s="101" t="s">
        <v>816</v>
      </c>
      <c r="E206" s="101" t="s">
        <v>491</v>
      </c>
      <c r="F206" s="101" t="s">
        <v>545</v>
      </c>
      <c r="G206" s="101" t="s">
        <v>546</v>
      </c>
      <c r="H206" s="101" t="s">
        <v>592</v>
      </c>
      <c r="I206" s="101" t="s">
        <v>593</v>
      </c>
      <c r="J206" s="101" t="s">
        <v>115</v>
      </c>
      <c r="K206" s="101" t="s">
        <v>112</v>
      </c>
      <c r="L206" s="101" t="s">
        <v>1071</v>
      </c>
      <c r="M206" s="101" t="n">
        <v>266</v>
      </c>
      <c r="N206" s="101" t="n">
        <v>4.52</v>
      </c>
      <c r="O206" s="101" t="n">
        <v>10.9</v>
      </c>
      <c r="P206" s="101" t="s">
        <v>113</v>
      </c>
      <c r="Q206" s="101" t="s">
        <v>113</v>
      </c>
      <c r="R206" s="101" t="s">
        <v>124</v>
      </c>
      <c r="S206" s="101" t="s">
        <v>486</v>
      </c>
      <c r="T206" s="101" t="s">
        <v>479</v>
      </c>
      <c r="U206" s="101" t="s">
        <v>124</v>
      </c>
      <c r="V206" s="101" t="n">
        <v>165.87</v>
      </c>
    </row>
    <row r="207" customFormat="false" ht="15" hidden="false" customHeight="true" outlineLevel="0" collapsed="false">
      <c r="A207" s="101" t="s">
        <v>1303</v>
      </c>
      <c r="B207" s="101" t="s">
        <v>1304</v>
      </c>
      <c r="C207" s="101" t="s">
        <v>1025</v>
      </c>
      <c r="D207" s="101" t="s">
        <v>850</v>
      </c>
      <c r="E207" s="101" t="s">
        <v>507</v>
      </c>
      <c r="F207" s="101" t="s">
        <v>508</v>
      </c>
      <c r="G207" s="101" t="s">
        <v>475</v>
      </c>
      <c r="H207" s="101" t="s">
        <v>644</v>
      </c>
      <c r="I207" s="101" t="s">
        <v>645</v>
      </c>
      <c r="J207" s="101" t="s">
        <v>111</v>
      </c>
      <c r="K207" s="101" t="s">
        <v>120</v>
      </c>
      <c r="L207" s="101" t="s">
        <v>1168</v>
      </c>
      <c r="M207" s="101" t="n">
        <v>195</v>
      </c>
      <c r="N207" s="101" t="n">
        <v>0.98</v>
      </c>
      <c r="O207" s="101" t="n">
        <v>3.24</v>
      </c>
      <c r="P207" s="101" t="s">
        <v>113</v>
      </c>
      <c r="Q207" s="101" t="s">
        <v>124</v>
      </c>
      <c r="R207" s="101" t="s">
        <v>124</v>
      </c>
      <c r="S207" s="101" t="n">
        <v>3</v>
      </c>
      <c r="T207" s="101" t="s">
        <v>487</v>
      </c>
      <c r="U207" s="101" t="s">
        <v>124</v>
      </c>
      <c r="V207" s="101" t="n">
        <v>45.69</v>
      </c>
    </row>
    <row r="208" customFormat="false" ht="15" hidden="false" customHeight="true" outlineLevel="0" collapsed="false">
      <c r="A208" s="101" t="s">
        <v>1305</v>
      </c>
      <c r="B208" s="101" t="s">
        <v>1306</v>
      </c>
      <c r="C208" s="101" t="s">
        <v>1307</v>
      </c>
      <c r="D208" s="101" t="s">
        <v>950</v>
      </c>
      <c r="E208" s="101" t="s">
        <v>473</v>
      </c>
      <c r="F208" s="101" t="s">
        <v>566</v>
      </c>
      <c r="G208" s="101" t="s">
        <v>546</v>
      </c>
      <c r="H208" s="101" t="s">
        <v>561</v>
      </c>
      <c r="I208" s="101" t="s">
        <v>345</v>
      </c>
      <c r="J208" s="101" t="s">
        <v>118</v>
      </c>
      <c r="K208" s="101" t="s">
        <v>120</v>
      </c>
      <c r="L208" s="101" t="s">
        <v>728</v>
      </c>
      <c r="M208" s="101" t="n">
        <v>94</v>
      </c>
      <c r="N208" s="101" t="n">
        <v>4.63</v>
      </c>
      <c r="O208" s="101" t="n">
        <v>16.3</v>
      </c>
      <c r="P208" s="101" t="s">
        <v>113</v>
      </c>
      <c r="Q208" s="101" t="s">
        <v>113</v>
      </c>
      <c r="R208" s="101" t="s">
        <v>124</v>
      </c>
      <c r="S208" s="101"/>
      <c r="T208" s="101" t="s">
        <v>479</v>
      </c>
      <c r="U208" s="101" t="s">
        <v>124</v>
      </c>
      <c r="V208" s="101" t="n">
        <v>281.95</v>
      </c>
    </row>
    <row r="209" customFormat="false" ht="15" hidden="false" customHeight="true" outlineLevel="0" collapsed="false">
      <c r="A209" s="101" t="s">
        <v>1308</v>
      </c>
      <c r="B209" s="101" t="s">
        <v>1309</v>
      </c>
      <c r="C209" s="101" t="s">
        <v>1310</v>
      </c>
      <c r="D209" s="101" t="s">
        <v>1102</v>
      </c>
      <c r="E209" s="101" t="s">
        <v>473</v>
      </c>
      <c r="F209" s="101" t="s">
        <v>492</v>
      </c>
      <c r="G209" s="101" t="s">
        <v>475</v>
      </c>
      <c r="H209" s="101" t="s">
        <v>484</v>
      </c>
      <c r="I209" s="101" t="s">
        <v>345</v>
      </c>
      <c r="J209" s="101" t="s">
        <v>111</v>
      </c>
      <c r="K209" s="101" t="s">
        <v>116</v>
      </c>
      <c r="L209" s="101" t="s">
        <v>1311</v>
      </c>
      <c r="M209" s="101" t="n">
        <v>619</v>
      </c>
      <c r="N209" s="101" t="n">
        <v>1.63</v>
      </c>
      <c r="O209" s="101" t="n">
        <v>13.77</v>
      </c>
      <c r="P209" s="101" t="s">
        <v>113</v>
      </c>
      <c r="Q209" s="101" t="s">
        <v>113</v>
      </c>
      <c r="R209" s="101" t="s">
        <v>124</v>
      </c>
      <c r="S209" s="101"/>
      <c r="T209" s="101" t="s">
        <v>487</v>
      </c>
      <c r="U209" s="101" t="s">
        <v>124</v>
      </c>
      <c r="V209" s="101" t="n">
        <v>194.19</v>
      </c>
    </row>
    <row r="210" customFormat="false" ht="15" hidden="false" customHeight="true" outlineLevel="0" collapsed="false">
      <c r="A210" s="101" t="s">
        <v>1312</v>
      </c>
      <c r="B210" s="101" t="s">
        <v>1313</v>
      </c>
      <c r="C210" s="101" t="s">
        <v>1314</v>
      </c>
      <c r="D210" s="101" t="s">
        <v>1142</v>
      </c>
      <c r="E210" s="101" t="s">
        <v>483</v>
      </c>
      <c r="F210" s="101" t="s">
        <v>508</v>
      </c>
      <c r="G210" s="101" t="s">
        <v>475</v>
      </c>
      <c r="H210" s="101" t="s">
        <v>484</v>
      </c>
      <c r="I210" s="101" t="s">
        <v>345</v>
      </c>
      <c r="J210" s="101" t="s">
        <v>115</v>
      </c>
      <c r="K210" s="101" t="s">
        <v>120</v>
      </c>
      <c r="L210" s="101" t="s">
        <v>821</v>
      </c>
      <c r="M210" s="101" t="n">
        <v>296</v>
      </c>
      <c r="N210" s="101" t="n">
        <v>4.88</v>
      </c>
      <c r="O210" s="101" t="n">
        <v>12.825</v>
      </c>
      <c r="P210" s="101" t="s">
        <v>113</v>
      </c>
      <c r="Q210" s="101" t="s">
        <v>124</v>
      </c>
      <c r="R210" s="101" t="s">
        <v>124</v>
      </c>
      <c r="S210" s="101"/>
      <c r="T210" s="101" t="s">
        <v>479</v>
      </c>
      <c r="U210" s="101" t="s">
        <v>124</v>
      </c>
      <c r="V210" s="101" t="n">
        <v>195.16</v>
      </c>
    </row>
    <row r="211" customFormat="false" ht="15" hidden="false" customHeight="true" outlineLevel="0" collapsed="false">
      <c r="A211" s="101" t="s">
        <v>1315</v>
      </c>
      <c r="B211" s="101" t="s">
        <v>1316</v>
      </c>
      <c r="C211" s="101" t="s">
        <v>1317</v>
      </c>
      <c r="D211" s="101" t="s">
        <v>833</v>
      </c>
      <c r="E211" s="101" t="s">
        <v>539</v>
      </c>
      <c r="F211" s="101" t="s">
        <v>492</v>
      </c>
      <c r="G211" s="101" t="s">
        <v>475</v>
      </c>
      <c r="H211" s="101" t="s">
        <v>509</v>
      </c>
      <c r="I211" s="101" t="s">
        <v>345</v>
      </c>
      <c r="J211" s="101" t="s">
        <v>123</v>
      </c>
      <c r="K211" s="101" t="s">
        <v>194</v>
      </c>
      <c r="L211" s="101" t="s">
        <v>1318</v>
      </c>
      <c r="M211" s="101" t="n">
        <v>7931</v>
      </c>
      <c r="N211" s="101" t="n">
        <v>2.61</v>
      </c>
      <c r="O211" s="101" t="n">
        <v>19.8</v>
      </c>
      <c r="P211" s="101" t="s">
        <v>113</v>
      </c>
      <c r="Q211" s="101" t="s">
        <v>113</v>
      </c>
      <c r="R211" s="101" t="s">
        <v>124</v>
      </c>
      <c r="S211" s="101" t="n">
        <v>4</v>
      </c>
      <c r="T211" s="101" t="s">
        <v>479</v>
      </c>
      <c r="U211" s="101" t="s">
        <v>124</v>
      </c>
      <c r="V211" s="101" t="n">
        <v>148.5</v>
      </c>
    </row>
    <row r="212" customFormat="false" ht="15" hidden="false" customHeight="true" outlineLevel="0" collapsed="false">
      <c r="A212" s="101" t="s">
        <v>1319</v>
      </c>
      <c r="B212" s="101" t="s">
        <v>1320</v>
      </c>
      <c r="C212" s="101" t="s">
        <v>1321</v>
      </c>
      <c r="D212" s="101" t="s">
        <v>1322</v>
      </c>
      <c r="E212" s="101" t="s">
        <v>483</v>
      </c>
      <c r="F212" s="101" t="s">
        <v>559</v>
      </c>
      <c r="G212" s="101" t="s">
        <v>560</v>
      </c>
      <c r="H212" s="101" t="s">
        <v>561</v>
      </c>
      <c r="I212" s="101" t="s">
        <v>345</v>
      </c>
      <c r="J212" s="101" t="s">
        <v>118</v>
      </c>
      <c r="K212" s="101" t="s">
        <v>120</v>
      </c>
      <c r="L212" s="101" t="s">
        <v>503</v>
      </c>
      <c r="M212" s="101" t="n">
        <v>66</v>
      </c>
      <c r="N212" s="101" t="n">
        <v>1.43</v>
      </c>
      <c r="O212" s="101" t="n">
        <v>29.4</v>
      </c>
      <c r="P212" s="101" t="s">
        <v>113</v>
      </c>
      <c r="Q212" s="101" t="s">
        <v>113</v>
      </c>
      <c r="R212" s="101" t="s">
        <v>124</v>
      </c>
      <c r="S212" s="101"/>
      <c r="T212" s="101" t="s">
        <v>496</v>
      </c>
      <c r="U212" s="101" t="s">
        <v>124</v>
      </c>
      <c r="V212" s="101" t="n">
        <v>508.54</v>
      </c>
    </row>
    <row r="213" customFormat="false" ht="15" hidden="false" customHeight="true" outlineLevel="0" collapsed="false">
      <c r="A213" s="101" t="s">
        <v>1323</v>
      </c>
      <c r="B213" s="101" t="s">
        <v>1324</v>
      </c>
      <c r="C213" s="101" t="s">
        <v>1325</v>
      </c>
      <c r="D213" s="101" t="s">
        <v>879</v>
      </c>
      <c r="E213" s="101" t="s">
        <v>473</v>
      </c>
      <c r="F213" s="101" t="s">
        <v>508</v>
      </c>
      <c r="G213" s="101" t="s">
        <v>475</v>
      </c>
      <c r="H213" s="101" t="s">
        <v>540</v>
      </c>
      <c r="I213" s="101" t="s">
        <v>477</v>
      </c>
      <c r="J213" s="101" t="s">
        <v>118</v>
      </c>
      <c r="K213" s="101" t="s">
        <v>112</v>
      </c>
      <c r="L213" s="101" t="s">
        <v>685</v>
      </c>
      <c r="M213" s="101" t="n">
        <v>34</v>
      </c>
      <c r="N213" s="101" t="n">
        <v>17.66</v>
      </c>
      <c r="O213" s="101" t="n">
        <v>12.6</v>
      </c>
      <c r="P213" s="101" t="s">
        <v>113</v>
      </c>
      <c r="Q213" s="101" t="s">
        <v>113</v>
      </c>
      <c r="R213" s="101" t="s">
        <v>124</v>
      </c>
      <c r="S213" s="101" t="s">
        <v>486</v>
      </c>
      <c r="T213" s="101" t="s">
        <v>479</v>
      </c>
      <c r="U213" s="101" t="s">
        <v>124</v>
      </c>
      <c r="V213" s="101" t="n">
        <v>217.95</v>
      </c>
    </row>
    <row r="214" customFormat="false" ht="15" hidden="false" customHeight="true" outlineLevel="0" collapsed="false">
      <c r="A214" s="101" t="s">
        <v>1326</v>
      </c>
      <c r="B214" s="101" t="s">
        <v>1327</v>
      </c>
      <c r="C214" s="101" t="s">
        <v>1328</v>
      </c>
      <c r="D214" s="101" t="s">
        <v>950</v>
      </c>
      <c r="E214" s="101" t="s">
        <v>473</v>
      </c>
      <c r="F214" s="101" t="s">
        <v>474</v>
      </c>
      <c r="G214" s="101" t="s">
        <v>475</v>
      </c>
      <c r="H214" s="101" t="s">
        <v>673</v>
      </c>
      <c r="I214" s="101" t="s">
        <v>645</v>
      </c>
      <c r="J214" s="101" t="s">
        <v>133</v>
      </c>
      <c r="K214" s="101"/>
      <c r="L214" s="101" t="s">
        <v>547</v>
      </c>
      <c r="M214" s="101" t="n">
        <v>5</v>
      </c>
      <c r="N214" s="101" t="n">
        <v>1.75</v>
      </c>
      <c r="O214" s="101" t="n">
        <v>1.3</v>
      </c>
      <c r="P214" s="101" t="s">
        <v>113</v>
      </c>
      <c r="Q214" s="101" t="s">
        <v>124</v>
      </c>
      <c r="R214" s="101" t="s">
        <v>113</v>
      </c>
      <c r="S214" s="101"/>
      <c r="T214" s="101" t="s">
        <v>479</v>
      </c>
      <c r="U214" s="101" t="s">
        <v>124</v>
      </c>
      <c r="V214" s="101" t="n">
        <v>6.24</v>
      </c>
    </row>
    <row r="215" customFormat="false" ht="15" hidden="false" customHeight="true" outlineLevel="0" collapsed="false">
      <c r="A215" s="101" t="s">
        <v>1329</v>
      </c>
      <c r="B215" s="101" t="s">
        <v>1330</v>
      </c>
      <c r="C215" s="101" t="s">
        <v>1331</v>
      </c>
      <c r="D215" s="101" t="s">
        <v>1087</v>
      </c>
      <c r="E215" s="101" t="s">
        <v>491</v>
      </c>
      <c r="F215" s="101" t="s">
        <v>545</v>
      </c>
      <c r="G215" s="101" t="s">
        <v>546</v>
      </c>
      <c r="H215" s="101" t="s">
        <v>517</v>
      </c>
      <c r="I215" s="101" t="s">
        <v>345</v>
      </c>
      <c r="J215" s="101" t="s">
        <v>123</v>
      </c>
      <c r="K215" s="101" t="s">
        <v>194</v>
      </c>
      <c r="L215" s="101" t="s">
        <v>1332</v>
      </c>
      <c r="M215" s="101" t="n">
        <v>27452</v>
      </c>
      <c r="N215" s="101" t="n">
        <v>0.92</v>
      </c>
      <c r="O215" s="101" t="n">
        <v>30.6</v>
      </c>
      <c r="P215" s="101" t="s">
        <v>124</v>
      </c>
      <c r="Q215" s="101" t="s">
        <v>113</v>
      </c>
      <c r="R215" s="101" t="s">
        <v>124</v>
      </c>
      <c r="S215" s="101" t="n">
        <v>3</v>
      </c>
      <c r="T215" s="101" t="s">
        <v>487</v>
      </c>
      <c r="U215" s="101" t="s">
        <v>124</v>
      </c>
      <c r="V215" s="101" t="n">
        <v>229.5</v>
      </c>
    </row>
    <row r="216" customFormat="false" ht="15" hidden="false" customHeight="true" outlineLevel="0" collapsed="false">
      <c r="A216" s="101" t="s">
        <v>1333</v>
      </c>
      <c r="B216" s="101" t="s">
        <v>1334</v>
      </c>
      <c r="C216" s="101" t="s">
        <v>1335</v>
      </c>
      <c r="D216" s="101" t="s">
        <v>1336</v>
      </c>
      <c r="E216" s="101" t="s">
        <v>483</v>
      </c>
      <c r="F216" s="101" t="s">
        <v>508</v>
      </c>
      <c r="G216" s="101" t="s">
        <v>475</v>
      </c>
      <c r="H216" s="101" t="s">
        <v>517</v>
      </c>
      <c r="I216" s="101" t="s">
        <v>345</v>
      </c>
      <c r="J216" s="101" t="s">
        <v>133</v>
      </c>
      <c r="K216" s="101"/>
      <c r="L216" s="101" t="s">
        <v>547</v>
      </c>
      <c r="M216" s="101" t="n">
        <v>13</v>
      </c>
      <c r="N216" s="101" t="n">
        <v>0.35</v>
      </c>
      <c r="O216" s="101" t="n">
        <v>0.8</v>
      </c>
      <c r="P216" s="101" t="s">
        <v>113</v>
      </c>
      <c r="Q216" s="101" t="s">
        <v>113</v>
      </c>
      <c r="R216" s="101" t="s">
        <v>124</v>
      </c>
      <c r="S216" s="101" t="n">
        <v>5</v>
      </c>
      <c r="T216" s="101" t="s">
        <v>496</v>
      </c>
      <c r="U216" s="101" t="s">
        <v>124</v>
      </c>
      <c r="V216" s="101" t="n">
        <v>3.84</v>
      </c>
    </row>
    <row r="217" customFormat="false" ht="15" hidden="false" customHeight="true" outlineLevel="0" collapsed="false">
      <c r="A217" s="101" t="s">
        <v>1337</v>
      </c>
      <c r="B217" s="101" t="s">
        <v>1338</v>
      </c>
      <c r="C217" s="101" t="s">
        <v>1339</v>
      </c>
      <c r="D217" s="101" t="s">
        <v>930</v>
      </c>
      <c r="E217" s="101" t="s">
        <v>514</v>
      </c>
      <c r="F217" s="101" t="s">
        <v>740</v>
      </c>
      <c r="G217" s="101" t="s">
        <v>560</v>
      </c>
      <c r="H217" s="101" t="s">
        <v>484</v>
      </c>
      <c r="I217" s="101" t="s">
        <v>345</v>
      </c>
      <c r="J217" s="101" t="s">
        <v>111</v>
      </c>
      <c r="K217" s="101" t="s">
        <v>120</v>
      </c>
      <c r="L217" s="101" t="s">
        <v>690</v>
      </c>
      <c r="M217" s="101" t="n">
        <v>106</v>
      </c>
      <c r="N217" s="101" t="n">
        <v>4.98</v>
      </c>
      <c r="O217" s="101" t="n">
        <v>4.455</v>
      </c>
      <c r="P217" s="101" t="s">
        <v>113</v>
      </c>
      <c r="Q217" s="101" t="s">
        <v>113</v>
      </c>
      <c r="R217" s="101" t="s">
        <v>124</v>
      </c>
      <c r="S217" s="101"/>
      <c r="T217" s="101" t="s">
        <v>479</v>
      </c>
      <c r="U217" s="101" t="s">
        <v>124</v>
      </c>
      <c r="V217" s="101" t="n">
        <v>62.83</v>
      </c>
    </row>
    <row r="218" customFormat="false" ht="15" hidden="false" customHeight="true" outlineLevel="0" collapsed="false">
      <c r="A218" s="101" t="s">
        <v>1340</v>
      </c>
      <c r="B218" s="101" t="s">
        <v>1341</v>
      </c>
      <c r="C218" s="101" t="s">
        <v>471</v>
      </c>
      <c r="D218" s="101" t="s">
        <v>1012</v>
      </c>
      <c r="E218" s="101" t="s">
        <v>491</v>
      </c>
      <c r="F218" s="101" t="s">
        <v>474</v>
      </c>
      <c r="G218" s="101" t="s">
        <v>475</v>
      </c>
      <c r="H218" s="101" t="s">
        <v>561</v>
      </c>
      <c r="I218" s="101" t="s">
        <v>345</v>
      </c>
      <c r="J218" s="101" t="s">
        <v>123</v>
      </c>
      <c r="K218" s="101" t="s">
        <v>199</v>
      </c>
      <c r="L218" s="101" t="s">
        <v>606</v>
      </c>
      <c r="M218" s="101" t="n">
        <v>3956</v>
      </c>
      <c r="N218" s="101" t="n">
        <v>3.32</v>
      </c>
      <c r="O218" s="101" t="n">
        <v>18</v>
      </c>
      <c r="P218" s="101" t="s">
        <v>113</v>
      </c>
      <c r="Q218" s="101" t="s">
        <v>113</v>
      </c>
      <c r="R218" s="101" t="s">
        <v>124</v>
      </c>
      <c r="S218" s="101" t="n">
        <v>5</v>
      </c>
      <c r="T218" s="101" t="s">
        <v>496</v>
      </c>
      <c r="U218" s="101" t="s">
        <v>124</v>
      </c>
      <c r="V218" s="101" t="n">
        <v>135</v>
      </c>
    </row>
    <row r="219" customFormat="false" ht="15" hidden="false" customHeight="true" outlineLevel="0" collapsed="false">
      <c r="A219" s="101" t="s">
        <v>1342</v>
      </c>
      <c r="B219" s="101" t="s">
        <v>1343</v>
      </c>
      <c r="C219" s="101" t="s">
        <v>1344</v>
      </c>
      <c r="D219" s="101" t="s">
        <v>1345</v>
      </c>
      <c r="E219" s="101" t="s">
        <v>514</v>
      </c>
      <c r="F219" s="101" t="s">
        <v>474</v>
      </c>
      <c r="G219" s="101" t="s">
        <v>475</v>
      </c>
      <c r="H219" s="101" t="s">
        <v>517</v>
      </c>
      <c r="I219" s="101" t="s">
        <v>345</v>
      </c>
      <c r="J219" s="101" t="s">
        <v>123</v>
      </c>
      <c r="K219" s="101" t="s">
        <v>199</v>
      </c>
      <c r="L219" s="101" t="s">
        <v>526</v>
      </c>
      <c r="M219" s="101" t="n">
        <v>25846</v>
      </c>
      <c r="N219" s="101" t="n">
        <v>1.36</v>
      </c>
      <c r="O219" s="101" t="n">
        <v>26.9</v>
      </c>
      <c r="P219" s="101" t="s">
        <v>124</v>
      </c>
      <c r="Q219" s="101" t="s">
        <v>113</v>
      </c>
      <c r="R219" s="101" t="s">
        <v>124</v>
      </c>
      <c r="S219" s="101" t="n">
        <v>3</v>
      </c>
      <c r="T219" s="101" t="s">
        <v>487</v>
      </c>
      <c r="U219" s="101" t="s">
        <v>124</v>
      </c>
      <c r="V219" s="101" t="n">
        <v>201.75</v>
      </c>
    </row>
    <row r="220" customFormat="false" ht="15" hidden="false" customHeight="true" outlineLevel="0" collapsed="false">
      <c r="A220" s="101" t="s">
        <v>1346</v>
      </c>
      <c r="B220" s="101" t="s">
        <v>1347</v>
      </c>
      <c r="C220" s="101" t="s">
        <v>1348</v>
      </c>
      <c r="D220" s="101" t="s">
        <v>538</v>
      </c>
      <c r="E220" s="101" t="s">
        <v>539</v>
      </c>
      <c r="F220" s="101" t="s">
        <v>515</v>
      </c>
      <c r="G220" s="101" t="s">
        <v>516</v>
      </c>
      <c r="H220" s="101" t="s">
        <v>476</v>
      </c>
      <c r="I220" s="101" t="s">
        <v>477</v>
      </c>
      <c r="J220" s="101" t="s">
        <v>115</v>
      </c>
      <c r="K220" s="101" t="s">
        <v>112</v>
      </c>
      <c r="L220" s="101" t="s">
        <v>551</v>
      </c>
      <c r="M220" s="101" t="n">
        <v>198</v>
      </c>
      <c r="N220" s="101" t="n">
        <v>18.77</v>
      </c>
      <c r="O220" s="101" t="n">
        <v>22.14</v>
      </c>
      <c r="P220" s="101" t="s">
        <v>113</v>
      </c>
      <c r="Q220" s="101" t="s">
        <v>113</v>
      </c>
      <c r="R220" s="101" t="s">
        <v>124</v>
      </c>
      <c r="S220" s="101" t="n">
        <v>3</v>
      </c>
      <c r="T220" s="101" t="s">
        <v>487</v>
      </c>
      <c r="U220" s="101" t="s">
        <v>124</v>
      </c>
      <c r="V220" s="101" t="n">
        <v>336.91</v>
      </c>
    </row>
    <row r="221" customFormat="false" ht="15" hidden="false" customHeight="true" outlineLevel="0" collapsed="false">
      <c r="A221" s="101" t="s">
        <v>1349</v>
      </c>
      <c r="B221" s="101" t="s">
        <v>1350</v>
      </c>
      <c r="C221" s="101" t="s">
        <v>1351</v>
      </c>
      <c r="D221" s="101" t="s">
        <v>1352</v>
      </c>
      <c r="E221" s="101" t="s">
        <v>539</v>
      </c>
      <c r="F221" s="101" t="s">
        <v>474</v>
      </c>
      <c r="G221" s="101" t="s">
        <v>475</v>
      </c>
      <c r="H221" s="101" t="s">
        <v>540</v>
      </c>
      <c r="I221" s="101" t="s">
        <v>477</v>
      </c>
      <c r="J221" s="101" t="s">
        <v>115</v>
      </c>
      <c r="K221" s="101" t="s">
        <v>120</v>
      </c>
      <c r="L221" s="101" t="s">
        <v>1353</v>
      </c>
      <c r="M221" s="101" t="n">
        <v>225</v>
      </c>
      <c r="N221" s="101" t="n">
        <v>26.25</v>
      </c>
      <c r="O221" s="101" t="n">
        <v>9.8</v>
      </c>
      <c r="P221" s="101" t="s">
        <v>113</v>
      </c>
      <c r="Q221" s="101" t="s">
        <v>113</v>
      </c>
      <c r="R221" s="101" t="s">
        <v>124</v>
      </c>
      <c r="S221" s="101" t="s">
        <v>486</v>
      </c>
      <c r="T221" s="101" t="s">
        <v>496</v>
      </c>
      <c r="U221" s="101" t="s">
        <v>124</v>
      </c>
      <c r="V221" s="101" t="n">
        <v>149.13</v>
      </c>
    </row>
    <row r="222" customFormat="false" ht="15" hidden="false" customHeight="true" outlineLevel="0" collapsed="false">
      <c r="A222" s="101" t="s">
        <v>1354</v>
      </c>
      <c r="B222" s="101" t="s">
        <v>1355</v>
      </c>
      <c r="C222" s="101" t="s">
        <v>1356</v>
      </c>
      <c r="D222" s="101" t="s">
        <v>1357</v>
      </c>
      <c r="E222" s="101" t="s">
        <v>500</v>
      </c>
      <c r="F222" s="101" t="s">
        <v>508</v>
      </c>
      <c r="G222" s="101" t="s">
        <v>475</v>
      </c>
      <c r="H222" s="101" t="s">
        <v>561</v>
      </c>
      <c r="I222" s="101" t="s">
        <v>345</v>
      </c>
      <c r="J222" s="101" t="s">
        <v>115</v>
      </c>
      <c r="K222" s="101" t="s">
        <v>199</v>
      </c>
      <c r="L222" s="101" t="s">
        <v>664</v>
      </c>
      <c r="M222" s="101" t="n">
        <v>205</v>
      </c>
      <c r="N222" s="101" t="n">
        <v>1.34</v>
      </c>
      <c r="O222" s="101" t="n">
        <v>7.5</v>
      </c>
      <c r="P222" s="101" t="s">
        <v>113</v>
      </c>
      <c r="Q222" s="101" t="s">
        <v>113</v>
      </c>
      <c r="R222" s="101" t="s">
        <v>124</v>
      </c>
      <c r="S222" s="101" t="s">
        <v>486</v>
      </c>
      <c r="T222" s="101" t="s">
        <v>479</v>
      </c>
      <c r="U222" s="101" t="s">
        <v>124</v>
      </c>
      <c r="V222" s="101" t="n">
        <v>114.13</v>
      </c>
    </row>
    <row r="223" customFormat="false" ht="15" hidden="false" customHeight="true" outlineLevel="0" collapsed="false">
      <c r="A223" s="101" t="s">
        <v>1358</v>
      </c>
      <c r="B223" s="101" t="s">
        <v>1359</v>
      </c>
      <c r="C223" s="101" t="s">
        <v>1360</v>
      </c>
      <c r="D223" s="101" t="s">
        <v>789</v>
      </c>
      <c r="E223" s="101" t="s">
        <v>483</v>
      </c>
      <c r="F223" s="101" t="s">
        <v>508</v>
      </c>
      <c r="G223" s="101" t="s">
        <v>475</v>
      </c>
      <c r="H223" s="101" t="s">
        <v>592</v>
      </c>
      <c r="I223" s="101" t="s">
        <v>593</v>
      </c>
      <c r="J223" s="101" t="s">
        <v>115</v>
      </c>
      <c r="K223" s="101" t="s">
        <v>120</v>
      </c>
      <c r="L223" s="101" t="s">
        <v>812</v>
      </c>
      <c r="M223" s="101" t="n">
        <v>75</v>
      </c>
      <c r="N223" s="101" t="n">
        <v>3.43</v>
      </c>
      <c r="O223" s="101" t="n">
        <v>19.1</v>
      </c>
      <c r="P223" s="101" t="s">
        <v>113</v>
      </c>
      <c r="Q223" s="101" t="s">
        <v>124</v>
      </c>
      <c r="R223" s="101" t="s">
        <v>124</v>
      </c>
      <c r="S223" s="101" t="n">
        <v>4</v>
      </c>
      <c r="T223" s="101" t="s">
        <v>479</v>
      </c>
      <c r="U223" s="101" t="s">
        <v>124</v>
      </c>
      <c r="V223" s="101" t="n">
        <v>290.65</v>
      </c>
    </row>
    <row r="224" customFormat="false" ht="15" hidden="false" customHeight="true" outlineLevel="0" collapsed="false">
      <c r="A224" s="101" t="s">
        <v>1361</v>
      </c>
      <c r="B224" s="101" t="s">
        <v>1362</v>
      </c>
      <c r="C224" s="101" t="s">
        <v>702</v>
      </c>
      <c r="D224" s="101" t="s">
        <v>1363</v>
      </c>
      <c r="E224" s="101" t="s">
        <v>491</v>
      </c>
      <c r="F224" s="101" t="s">
        <v>515</v>
      </c>
      <c r="G224" s="101" t="s">
        <v>516</v>
      </c>
      <c r="H224" s="101" t="s">
        <v>484</v>
      </c>
      <c r="I224" s="101" t="s">
        <v>345</v>
      </c>
      <c r="J224" s="101" t="s">
        <v>111</v>
      </c>
      <c r="K224" s="101" t="s">
        <v>194</v>
      </c>
      <c r="L224" s="101" t="s">
        <v>1364</v>
      </c>
      <c r="M224" s="101" t="n">
        <v>803</v>
      </c>
      <c r="N224" s="101" t="n">
        <v>4.46</v>
      </c>
      <c r="O224" s="101" t="n">
        <v>23.49</v>
      </c>
      <c r="P224" s="101" t="s">
        <v>113</v>
      </c>
      <c r="Q224" s="101" t="s">
        <v>113</v>
      </c>
      <c r="R224" s="101" t="s">
        <v>124</v>
      </c>
      <c r="S224" s="101" t="n">
        <v>3</v>
      </c>
      <c r="T224" s="101" t="s">
        <v>487</v>
      </c>
      <c r="U224" s="101" t="s">
        <v>124</v>
      </c>
      <c r="V224" s="101" t="n">
        <v>331.27</v>
      </c>
    </row>
    <row r="225" customFormat="false" ht="15" hidden="false" customHeight="true" outlineLevel="0" collapsed="false">
      <c r="A225" s="101" t="s">
        <v>1365</v>
      </c>
      <c r="B225" s="101" t="s">
        <v>1366</v>
      </c>
      <c r="C225" s="101" t="s">
        <v>1367</v>
      </c>
      <c r="D225" s="101" t="s">
        <v>1134</v>
      </c>
      <c r="E225" s="101" t="s">
        <v>473</v>
      </c>
      <c r="F225" s="101" t="s">
        <v>508</v>
      </c>
      <c r="G225" s="101" t="s">
        <v>475</v>
      </c>
      <c r="H225" s="101" t="s">
        <v>561</v>
      </c>
      <c r="I225" s="101" t="s">
        <v>345</v>
      </c>
      <c r="J225" s="101" t="s">
        <v>118</v>
      </c>
      <c r="K225" s="101" t="s">
        <v>112</v>
      </c>
      <c r="L225" s="101" t="s">
        <v>1368</v>
      </c>
      <c r="M225" s="101" t="n">
        <v>100</v>
      </c>
      <c r="N225" s="101" t="n">
        <v>1.61</v>
      </c>
      <c r="O225" s="101" t="n">
        <v>21.3</v>
      </c>
      <c r="P225" s="101" t="s">
        <v>113</v>
      </c>
      <c r="Q225" s="101" t="s">
        <v>113</v>
      </c>
      <c r="R225" s="101" t="s">
        <v>124</v>
      </c>
      <c r="S225" s="101" t="n">
        <v>3</v>
      </c>
      <c r="T225" s="101" t="s">
        <v>487</v>
      </c>
      <c r="U225" s="101" t="s">
        <v>124</v>
      </c>
      <c r="V225" s="101" t="n">
        <v>368.43</v>
      </c>
    </row>
    <row r="226" customFormat="false" ht="15" hidden="false" customHeight="true" outlineLevel="0" collapsed="false">
      <c r="A226" s="101" t="s">
        <v>1369</v>
      </c>
      <c r="B226" s="101" t="s">
        <v>1370</v>
      </c>
      <c r="C226" s="101" t="s">
        <v>1371</v>
      </c>
      <c r="D226" s="101" t="s">
        <v>1372</v>
      </c>
      <c r="E226" s="101" t="s">
        <v>500</v>
      </c>
      <c r="F226" s="101" t="s">
        <v>501</v>
      </c>
      <c r="G226" s="101" t="s">
        <v>502</v>
      </c>
      <c r="H226" s="101" t="s">
        <v>673</v>
      </c>
      <c r="I226" s="101" t="s">
        <v>645</v>
      </c>
      <c r="J226" s="101" t="s">
        <v>111</v>
      </c>
      <c r="K226" s="101" t="s">
        <v>120</v>
      </c>
      <c r="L226" s="101" t="s">
        <v>994</v>
      </c>
      <c r="M226" s="101" t="n">
        <v>498</v>
      </c>
      <c r="N226" s="101" t="n">
        <v>1.42</v>
      </c>
      <c r="O226" s="101" t="n">
        <v>9.9</v>
      </c>
      <c r="P226" s="101" t="s">
        <v>113</v>
      </c>
      <c r="Q226" s="101" t="s">
        <v>113</v>
      </c>
      <c r="R226" s="101" t="s">
        <v>124</v>
      </c>
      <c r="S226" s="101" t="n">
        <v>4</v>
      </c>
      <c r="T226" s="101" t="s">
        <v>479</v>
      </c>
      <c r="U226" s="101" t="s">
        <v>124</v>
      </c>
      <c r="V226" s="101" t="n">
        <v>139.62</v>
      </c>
    </row>
    <row r="227" customFormat="false" ht="15" hidden="false" customHeight="true" outlineLevel="0" collapsed="false">
      <c r="A227" s="101" t="s">
        <v>1373</v>
      </c>
      <c r="B227" s="101" t="s">
        <v>1374</v>
      </c>
      <c r="C227" s="101" t="s">
        <v>1375</v>
      </c>
      <c r="D227" s="101" t="s">
        <v>1376</v>
      </c>
      <c r="E227" s="101" t="s">
        <v>483</v>
      </c>
      <c r="F227" s="101" t="s">
        <v>559</v>
      </c>
      <c r="G227" s="101" t="s">
        <v>560</v>
      </c>
      <c r="H227" s="101" t="s">
        <v>509</v>
      </c>
      <c r="I227" s="101" t="s">
        <v>345</v>
      </c>
      <c r="J227" s="101" t="s">
        <v>118</v>
      </c>
      <c r="K227" s="101" t="s">
        <v>116</v>
      </c>
      <c r="L227" s="101" t="s">
        <v>931</v>
      </c>
      <c r="M227" s="101" t="n">
        <v>15</v>
      </c>
      <c r="N227" s="101" t="n">
        <v>1.39</v>
      </c>
      <c r="O227" s="101" t="n">
        <v>18.1</v>
      </c>
      <c r="P227" s="101" t="s">
        <v>113</v>
      </c>
      <c r="Q227" s="101" t="s">
        <v>113</v>
      </c>
      <c r="R227" s="101" t="s">
        <v>124</v>
      </c>
      <c r="S227" s="101" t="n">
        <v>5</v>
      </c>
      <c r="T227" s="101" t="s">
        <v>496</v>
      </c>
      <c r="U227" s="101" t="s">
        <v>124</v>
      </c>
      <c r="V227" s="101" t="n">
        <v>313.08</v>
      </c>
    </row>
    <row r="228" customFormat="false" ht="15" hidden="false" customHeight="true" outlineLevel="0" collapsed="false">
      <c r="A228" s="101" t="s">
        <v>1377</v>
      </c>
      <c r="B228" s="101" t="s">
        <v>1378</v>
      </c>
      <c r="C228" s="101" t="s">
        <v>1379</v>
      </c>
      <c r="D228" s="101" t="s">
        <v>1252</v>
      </c>
      <c r="E228" s="101" t="s">
        <v>473</v>
      </c>
      <c r="F228" s="101" t="s">
        <v>515</v>
      </c>
      <c r="G228" s="101" t="s">
        <v>516</v>
      </c>
      <c r="H228" s="101" t="s">
        <v>509</v>
      </c>
      <c r="I228" s="101" t="s">
        <v>345</v>
      </c>
      <c r="J228" s="101" t="s">
        <v>118</v>
      </c>
      <c r="K228" s="101" t="s">
        <v>116</v>
      </c>
      <c r="L228" s="101" t="s">
        <v>630</v>
      </c>
      <c r="M228" s="101" t="n">
        <v>52</v>
      </c>
      <c r="N228" s="101" t="n">
        <v>0.25</v>
      </c>
      <c r="O228" s="101" t="n">
        <v>18.1</v>
      </c>
      <c r="P228" s="101" t="s">
        <v>113</v>
      </c>
      <c r="Q228" s="101" t="s">
        <v>124</v>
      </c>
      <c r="R228" s="101" t="s">
        <v>113</v>
      </c>
      <c r="S228" s="101" t="n">
        <v>3</v>
      </c>
      <c r="T228" s="101" t="s">
        <v>487</v>
      </c>
      <c r="U228" s="101" t="s">
        <v>124</v>
      </c>
      <c r="V228" s="101" t="n">
        <v>313.08</v>
      </c>
    </row>
    <row r="229" customFormat="false" ht="15" hidden="false" customHeight="true" outlineLevel="0" collapsed="false">
      <c r="A229" s="101" t="s">
        <v>1380</v>
      </c>
      <c r="B229" s="101" t="s">
        <v>1381</v>
      </c>
      <c r="C229" s="101" t="s">
        <v>584</v>
      </c>
      <c r="D229" s="101" t="s">
        <v>1382</v>
      </c>
      <c r="E229" s="101" t="s">
        <v>500</v>
      </c>
      <c r="F229" s="101" t="s">
        <v>530</v>
      </c>
      <c r="G229" s="101" t="s">
        <v>516</v>
      </c>
      <c r="H229" s="101" t="s">
        <v>517</v>
      </c>
      <c r="I229" s="101" t="s">
        <v>345</v>
      </c>
      <c r="J229" s="101" t="s">
        <v>123</v>
      </c>
      <c r="K229" s="101" t="s">
        <v>112</v>
      </c>
      <c r="L229" s="101" t="s">
        <v>762</v>
      </c>
      <c r="M229" s="101" t="n">
        <v>10188</v>
      </c>
      <c r="N229" s="101" t="n">
        <v>0.73</v>
      </c>
      <c r="O229" s="101" t="n">
        <v>37.1</v>
      </c>
      <c r="P229" s="101" t="s">
        <v>113</v>
      </c>
      <c r="Q229" s="101" t="s">
        <v>124</v>
      </c>
      <c r="R229" s="101" t="s">
        <v>113</v>
      </c>
      <c r="S229" s="101" t="s">
        <v>486</v>
      </c>
      <c r="T229" s="101" t="s">
        <v>616</v>
      </c>
      <c r="U229" s="101" t="s">
        <v>124</v>
      </c>
      <c r="V229" s="101" t="n">
        <v>278.25</v>
      </c>
    </row>
    <row r="230" customFormat="false" ht="15" hidden="false" customHeight="true" outlineLevel="0" collapsed="false">
      <c r="A230" s="101" t="s">
        <v>1383</v>
      </c>
      <c r="B230" s="101" t="s">
        <v>1384</v>
      </c>
      <c r="C230" s="101" t="s">
        <v>1385</v>
      </c>
      <c r="D230" s="101" t="s">
        <v>1386</v>
      </c>
      <c r="E230" s="101" t="s">
        <v>500</v>
      </c>
      <c r="F230" s="101" t="s">
        <v>530</v>
      </c>
      <c r="G230" s="101" t="s">
        <v>516</v>
      </c>
      <c r="H230" s="101" t="s">
        <v>561</v>
      </c>
      <c r="I230" s="101" t="s">
        <v>345</v>
      </c>
      <c r="J230" s="101" t="s">
        <v>123</v>
      </c>
      <c r="K230" s="101" t="s">
        <v>112</v>
      </c>
      <c r="L230" s="101" t="s">
        <v>876</v>
      </c>
      <c r="M230" s="101" t="n">
        <v>16248</v>
      </c>
      <c r="N230" s="101" t="n">
        <v>4.29</v>
      </c>
      <c r="O230" s="101" t="n">
        <v>11</v>
      </c>
      <c r="P230" s="101" t="s">
        <v>124</v>
      </c>
      <c r="Q230" s="101" t="s">
        <v>113</v>
      </c>
      <c r="R230" s="101" t="s">
        <v>124</v>
      </c>
      <c r="S230" s="101" t="n">
        <v>3</v>
      </c>
      <c r="T230" s="101" t="s">
        <v>487</v>
      </c>
      <c r="U230" s="101" t="s">
        <v>124</v>
      </c>
      <c r="V230" s="101" t="n">
        <v>82.5</v>
      </c>
    </row>
    <row r="231" customFormat="false" ht="15" hidden="false" customHeight="true" outlineLevel="0" collapsed="false">
      <c r="A231" s="101" t="s">
        <v>1387</v>
      </c>
      <c r="B231" s="101" t="s">
        <v>1388</v>
      </c>
      <c r="C231" s="101" t="s">
        <v>1255</v>
      </c>
      <c r="D231" s="101" t="s">
        <v>1389</v>
      </c>
      <c r="E231" s="101" t="s">
        <v>500</v>
      </c>
      <c r="F231" s="101" t="s">
        <v>559</v>
      </c>
      <c r="G231" s="101" t="s">
        <v>560</v>
      </c>
      <c r="H231" s="101" t="s">
        <v>517</v>
      </c>
      <c r="I231" s="101" t="s">
        <v>345</v>
      </c>
      <c r="J231" s="101" t="s">
        <v>123</v>
      </c>
      <c r="K231" s="101" t="s">
        <v>120</v>
      </c>
      <c r="L231" s="101" t="s">
        <v>503</v>
      </c>
      <c r="M231" s="101" t="n">
        <v>15863</v>
      </c>
      <c r="N231" s="101" t="n">
        <v>0.69</v>
      </c>
      <c r="O231" s="101" t="n">
        <v>25.9</v>
      </c>
      <c r="P231" s="101" t="s">
        <v>124</v>
      </c>
      <c r="Q231" s="101" t="s">
        <v>113</v>
      </c>
      <c r="R231" s="101" t="s">
        <v>124</v>
      </c>
      <c r="S231" s="101" t="n">
        <v>4</v>
      </c>
      <c r="T231" s="101" t="s">
        <v>479</v>
      </c>
      <c r="U231" s="101" t="s">
        <v>124</v>
      </c>
      <c r="V231" s="101" t="n">
        <v>194.25</v>
      </c>
    </row>
    <row r="232" customFormat="false" ht="15" hidden="false" customHeight="true" outlineLevel="0" collapsed="false">
      <c r="A232" s="101" t="s">
        <v>1390</v>
      </c>
      <c r="B232" s="101" t="s">
        <v>1391</v>
      </c>
      <c r="C232" s="101" t="s">
        <v>1392</v>
      </c>
      <c r="D232" s="102" t="n">
        <v>45865.5527777778</v>
      </c>
      <c r="E232" s="101" t="s">
        <v>539</v>
      </c>
      <c r="F232" s="101" t="s">
        <v>508</v>
      </c>
      <c r="G232" s="101" t="s">
        <v>475</v>
      </c>
      <c r="H232" s="101" t="s">
        <v>484</v>
      </c>
      <c r="I232" s="101" t="s">
        <v>345</v>
      </c>
      <c r="J232" s="101" t="s">
        <v>118</v>
      </c>
      <c r="K232" s="101" t="s">
        <v>194</v>
      </c>
      <c r="L232" s="101" t="s">
        <v>1130</v>
      </c>
      <c r="M232" s="101" t="n">
        <v>29</v>
      </c>
      <c r="N232" s="101" t="n">
        <v>10.74</v>
      </c>
      <c r="O232" s="101" t="n">
        <v>58.995</v>
      </c>
      <c r="P232" s="101" t="s">
        <v>113</v>
      </c>
      <c r="Q232" s="101" t="s">
        <v>113</v>
      </c>
      <c r="R232" s="101" t="s">
        <v>124</v>
      </c>
      <c r="S232" s="101" t="s">
        <v>486</v>
      </c>
      <c r="T232" s="101" t="s">
        <v>479</v>
      </c>
      <c r="U232" s="101" t="s">
        <v>124</v>
      </c>
      <c r="V232" s="101" t="n">
        <v>1020.45</v>
      </c>
    </row>
    <row r="233" customFormat="false" ht="15" hidden="false" customHeight="true" outlineLevel="0" collapsed="false">
      <c r="A233" s="101" t="s">
        <v>1393</v>
      </c>
      <c r="B233" s="101" t="s">
        <v>1394</v>
      </c>
      <c r="C233" s="101" t="s">
        <v>1162</v>
      </c>
      <c r="D233" s="101" t="s">
        <v>1395</v>
      </c>
      <c r="E233" s="101" t="s">
        <v>483</v>
      </c>
      <c r="F233" s="101" t="s">
        <v>492</v>
      </c>
      <c r="G233" s="101" t="s">
        <v>475</v>
      </c>
      <c r="H233" s="101" t="s">
        <v>484</v>
      </c>
      <c r="I233" s="101" t="s">
        <v>345</v>
      </c>
      <c r="J233" s="101" t="s">
        <v>133</v>
      </c>
      <c r="K233" s="101"/>
      <c r="L233" s="101" t="s">
        <v>547</v>
      </c>
      <c r="M233" s="101" t="n">
        <v>5</v>
      </c>
      <c r="N233" s="101" t="n">
        <v>7.53</v>
      </c>
      <c r="O233" s="101" t="n">
        <v>4.86</v>
      </c>
      <c r="P233" s="101" t="s">
        <v>113</v>
      </c>
      <c r="Q233" s="101" t="s">
        <v>113</v>
      </c>
      <c r="R233" s="101" t="s">
        <v>124</v>
      </c>
      <c r="S233" s="101" t="s">
        <v>486</v>
      </c>
      <c r="T233" s="101" t="s">
        <v>479</v>
      </c>
      <c r="U233" s="101" t="s">
        <v>124</v>
      </c>
      <c r="V233" s="101" t="n">
        <v>23.33</v>
      </c>
    </row>
    <row r="234" customFormat="false" ht="15" hidden="false" customHeight="true" outlineLevel="0" collapsed="false">
      <c r="A234" s="101" t="s">
        <v>1396</v>
      </c>
      <c r="B234" s="101" t="s">
        <v>1397</v>
      </c>
      <c r="C234" s="101" t="s">
        <v>1398</v>
      </c>
      <c r="D234" s="101" t="s">
        <v>1399</v>
      </c>
      <c r="E234" s="101" t="s">
        <v>507</v>
      </c>
      <c r="F234" s="101" t="s">
        <v>740</v>
      </c>
      <c r="G234" s="101" t="s">
        <v>560</v>
      </c>
      <c r="H234" s="101" t="s">
        <v>509</v>
      </c>
      <c r="I234" s="101" t="s">
        <v>345</v>
      </c>
      <c r="J234" s="101" t="s">
        <v>111</v>
      </c>
      <c r="K234" s="101" t="s">
        <v>116</v>
      </c>
      <c r="L234" s="101" t="s">
        <v>973</v>
      </c>
      <c r="M234" s="101" t="n">
        <v>93</v>
      </c>
      <c r="N234" s="101" t="n">
        <v>3.38</v>
      </c>
      <c r="O234" s="101" t="n">
        <v>6.2</v>
      </c>
      <c r="P234" s="101" t="s">
        <v>113</v>
      </c>
      <c r="Q234" s="101" t="s">
        <v>113</v>
      </c>
      <c r="R234" s="101" t="s">
        <v>124</v>
      </c>
      <c r="S234" s="101" t="s">
        <v>486</v>
      </c>
      <c r="T234" s="101" t="s">
        <v>479</v>
      </c>
      <c r="U234" s="101" t="s">
        <v>124</v>
      </c>
      <c r="V234" s="101" t="n">
        <v>87.44</v>
      </c>
    </row>
    <row r="235" customFormat="false" ht="15" hidden="false" customHeight="true" outlineLevel="0" collapsed="false">
      <c r="A235" s="101" t="s">
        <v>1400</v>
      </c>
      <c r="B235" s="101" t="s">
        <v>1401</v>
      </c>
      <c r="C235" s="101" t="s">
        <v>1402</v>
      </c>
      <c r="D235" s="101" t="s">
        <v>699</v>
      </c>
      <c r="E235" s="101" t="s">
        <v>483</v>
      </c>
      <c r="F235" s="101" t="s">
        <v>474</v>
      </c>
      <c r="G235" s="101" t="s">
        <v>475</v>
      </c>
      <c r="H235" s="101" t="s">
        <v>484</v>
      </c>
      <c r="I235" s="101" t="s">
        <v>345</v>
      </c>
      <c r="J235" s="101" t="s">
        <v>133</v>
      </c>
      <c r="K235" s="101"/>
      <c r="L235" s="101" t="s">
        <v>547</v>
      </c>
      <c r="M235" s="101" t="n">
        <v>19</v>
      </c>
      <c r="N235" s="101" t="n">
        <v>2.1</v>
      </c>
      <c r="O235" s="101" t="n">
        <v>2.16</v>
      </c>
      <c r="P235" s="101" t="s">
        <v>113</v>
      </c>
      <c r="Q235" s="101" t="s">
        <v>124</v>
      </c>
      <c r="R235" s="101" t="s">
        <v>124</v>
      </c>
      <c r="S235" s="101" t="s">
        <v>486</v>
      </c>
      <c r="T235" s="101" t="s">
        <v>487</v>
      </c>
      <c r="U235" s="101" t="s">
        <v>124</v>
      </c>
      <c r="V235" s="101" t="n">
        <v>10.37</v>
      </c>
    </row>
    <row r="236" customFormat="false" ht="15" hidden="false" customHeight="true" outlineLevel="0" collapsed="false">
      <c r="A236" s="101" t="s">
        <v>1403</v>
      </c>
      <c r="B236" s="101" t="s">
        <v>1404</v>
      </c>
      <c r="C236" s="101" t="s">
        <v>1208</v>
      </c>
      <c r="D236" s="101" t="s">
        <v>1405</v>
      </c>
      <c r="E236" s="101" t="s">
        <v>483</v>
      </c>
      <c r="F236" s="101" t="s">
        <v>515</v>
      </c>
      <c r="G236" s="101" t="s">
        <v>516</v>
      </c>
      <c r="H236" s="101" t="s">
        <v>493</v>
      </c>
      <c r="I236" s="101" t="s">
        <v>494</v>
      </c>
      <c r="J236" s="101" t="s">
        <v>133</v>
      </c>
      <c r="K236" s="101"/>
      <c r="L236" s="101" t="s">
        <v>547</v>
      </c>
      <c r="M236" s="101" t="n">
        <v>17</v>
      </c>
      <c r="N236" s="101" t="n">
        <v>0.54</v>
      </c>
      <c r="O236" s="101" t="n">
        <v>2.38</v>
      </c>
      <c r="P236" s="101" t="s">
        <v>113</v>
      </c>
      <c r="Q236" s="101" t="s">
        <v>113</v>
      </c>
      <c r="R236" s="101" t="s">
        <v>124</v>
      </c>
      <c r="S236" s="101" t="s">
        <v>486</v>
      </c>
      <c r="T236" s="101" t="s">
        <v>496</v>
      </c>
      <c r="U236" s="101" t="s">
        <v>124</v>
      </c>
      <c r="V236" s="101" t="n">
        <v>11.42</v>
      </c>
    </row>
    <row r="237" customFormat="false" ht="15" hidden="false" customHeight="true" outlineLevel="0" collapsed="false">
      <c r="A237" s="101" t="s">
        <v>1406</v>
      </c>
      <c r="B237" s="101" t="s">
        <v>1407</v>
      </c>
      <c r="C237" s="101" t="s">
        <v>1408</v>
      </c>
      <c r="D237" s="101" t="s">
        <v>1409</v>
      </c>
      <c r="E237" s="101" t="s">
        <v>491</v>
      </c>
      <c r="F237" s="101" t="s">
        <v>559</v>
      </c>
      <c r="G237" s="101" t="s">
        <v>560</v>
      </c>
      <c r="H237" s="101" t="s">
        <v>493</v>
      </c>
      <c r="I237" s="101" t="s">
        <v>494</v>
      </c>
      <c r="J237" s="101" t="s">
        <v>123</v>
      </c>
      <c r="K237" s="101" t="s">
        <v>194</v>
      </c>
      <c r="L237" s="101" t="s">
        <v>1410</v>
      </c>
      <c r="M237" s="101" t="n">
        <v>22579</v>
      </c>
      <c r="N237" s="101" t="n">
        <v>1.26</v>
      </c>
      <c r="O237" s="101" t="n">
        <v>28.475</v>
      </c>
      <c r="P237" s="101" t="s">
        <v>124</v>
      </c>
      <c r="Q237" s="101" t="s">
        <v>113</v>
      </c>
      <c r="R237" s="101" t="s">
        <v>124</v>
      </c>
      <c r="S237" s="101" t="n">
        <v>4</v>
      </c>
      <c r="T237" s="101" t="s">
        <v>479</v>
      </c>
      <c r="U237" s="101" t="s">
        <v>124</v>
      </c>
      <c r="V237" s="101" t="n">
        <v>213.56</v>
      </c>
    </row>
    <row r="238" customFormat="false" ht="15" hidden="false" customHeight="true" outlineLevel="0" collapsed="false">
      <c r="A238" s="101" t="s">
        <v>1411</v>
      </c>
      <c r="B238" s="101" t="s">
        <v>1412</v>
      </c>
      <c r="C238" s="101" t="s">
        <v>628</v>
      </c>
      <c r="D238" s="101" t="s">
        <v>1074</v>
      </c>
      <c r="E238" s="101" t="s">
        <v>514</v>
      </c>
      <c r="F238" s="101" t="s">
        <v>740</v>
      </c>
      <c r="G238" s="101" t="s">
        <v>560</v>
      </c>
      <c r="H238" s="101" t="s">
        <v>484</v>
      </c>
      <c r="I238" s="101" t="s">
        <v>345</v>
      </c>
      <c r="J238" s="101" t="s">
        <v>123</v>
      </c>
      <c r="K238" s="101" t="s">
        <v>194</v>
      </c>
      <c r="L238" s="101" t="s">
        <v>984</v>
      </c>
      <c r="M238" s="101" t="n">
        <v>10524</v>
      </c>
      <c r="N238" s="101" t="n">
        <v>1.94</v>
      </c>
      <c r="O238" s="101" t="n">
        <v>26.46</v>
      </c>
      <c r="P238" s="101" t="s">
        <v>113</v>
      </c>
      <c r="Q238" s="101" t="s">
        <v>113</v>
      </c>
      <c r="R238" s="101" t="s">
        <v>124</v>
      </c>
      <c r="S238" s="101" t="s">
        <v>486</v>
      </c>
      <c r="T238" s="101" t="s">
        <v>479</v>
      </c>
      <c r="U238" s="101" t="s">
        <v>124</v>
      </c>
      <c r="V238" s="101" t="n">
        <v>198.45</v>
      </c>
    </row>
    <row r="239" customFormat="false" ht="15" hidden="false" customHeight="true" outlineLevel="0" collapsed="false">
      <c r="A239" s="101" t="s">
        <v>1413</v>
      </c>
      <c r="B239" s="101" t="s">
        <v>1414</v>
      </c>
      <c r="C239" s="101" t="s">
        <v>1415</v>
      </c>
      <c r="D239" s="101" t="s">
        <v>699</v>
      </c>
      <c r="E239" s="101" t="s">
        <v>483</v>
      </c>
      <c r="F239" s="101" t="s">
        <v>566</v>
      </c>
      <c r="G239" s="101" t="s">
        <v>546</v>
      </c>
      <c r="H239" s="101" t="s">
        <v>484</v>
      </c>
      <c r="I239" s="101" t="s">
        <v>345</v>
      </c>
      <c r="J239" s="101" t="s">
        <v>118</v>
      </c>
      <c r="K239" s="101" t="s">
        <v>120</v>
      </c>
      <c r="L239" s="101" t="s">
        <v>851</v>
      </c>
      <c r="M239" s="101" t="n">
        <v>36</v>
      </c>
      <c r="N239" s="101" t="n">
        <v>4.37</v>
      </c>
      <c r="O239" s="101" t="n">
        <v>18.495</v>
      </c>
      <c r="P239" s="101" t="s">
        <v>113</v>
      </c>
      <c r="Q239" s="101" t="s">
        <v>113</v>
      </c>
      <c r="R239" s="101" t="s">
        <v>124</v>
      </c>
      <c r="S239" s="101" t="n">
        <v>3</v>
      </c>
      <c r="T239" s="101" t="s">
        <v>487</v>
      </c>
      <c r="U239" s="101" t="s">
        <v>124</v>
      </c>
      <c r="V239" s="101" t="n">
        <v>319.91</v>
      </c>
    </row>
    <row r="240" customFormat="false" ht="15" hidden="false" customHeight="true" outlineLevel="0" collapsed="false">
      <c r="A240" s="101" t="s">
        <v>1416</v>
      </c>
      <c r="B240" s="101" t="s">
        <v>1417</v>
      </c>
      <c r="C240" s="101" t="s">
        <v>1418</v>
      </c>
      <c r="D240" s="101" t="s">
        <v>1289</v>
      </c>
      <c r="E240" s="101" t="s">
        <v>483</v>
      </c>
      <c r="F240" s="101" t="s">
        <v>474</v>
      </c>
      <c r="G240" s="101" t="s">
        <v>475</v>
      </c>
      <c r="H240" s="101" t="s">
        <v>561</v>
      </c>
      <c r="I240" s="101" t="s">
        <v>345</v>
      </c>
      <c r="J240" s="101" t="s">
        <v>133</v>
      </c>
      <c r="K240" s="101"/>
      <c r="L240" s="101" t="s">
        <v>547</v>
      </c>
      <c r="M240" s="101" t="n">
        <v>8</v>
      </c>
      <c r="N240" s="101" t="n">
        <v>1.78</v>
      </c>
      <c r="O240" s="101" t="n">
        <v>1.3</v>
      </c>
      <c r="P240" s="101" t="s">
        <v>113</v>
      </c>
      <c r="Q240" s="101" t="s">
        <v>124</v>
      </c>
      <c r="R240" s="101" t="s">
        <v>124</v>
      </c>
      <c r="S240" s="101" t="n">
        <v>4</v>
      </c>
      <c r="T240" s="101" t="s">
        <v>479</v>
      </c>
      <c r="U240" s="101" t="s">
        <v>124</v>
      </c>
      <c r="V240" s="101" t="n">
        <v>6.24</v>
      </c>
    </row>
    <row r="241" customFormat="false" ht="15" hidden="false" customHeight="true" outlineLevel="0" collapsed="false">
      <c r="A241" s="101" t="s">
        <v>1419</v>
      </c>
      <c r="B241" s="101" t="s">
        <v>1420</v>
      </c>
      <c r="C241" s="101" t="s">
        <v>1421</v>
      </c>
      <c r="D241" s="101" t="s">
        <v>1274</v>
      </c>
      <c r="E241" s="101" t="s">
        <v>483</v>
      </c>
      <c r="F241" s="101" t="s">
        <v>492</v>
      </c>
      <c r="G241" s="101" t="s">
        <v>475</v>
      </c>
      <c r="H241" s="101" t="s">
        <v>592</v>
      </c>
      <c r="I241" s="101" t="s">
        <v>593</v>
      </c>
      <c r="J241" s="101" t="s">
        <v>111</v>
      </c>
      <c r="K241" s="101" t="s">
        <v>112</v>
      </c>
      <c r="L241" s="101" t="s">
        <v>1368</v>
      </c>
      <c r="M241" s="101" t="n">
        <v>764</v>
      </c>
      <c r="N241" s="101" t="n">
        <v>1.86</v>
      </c>
      <c r="O241" s="101" t="n">
        <v>3.4</v>
      </c>
      <c r="P241" s="101" t="s">
        <v>113</v>
      </c>
      <c r="Q241" s="101" t="s">
        <v>113</v>
      </c>
      <c r="R241" s="101" t="s">
        <v>124</v>
      </c>
      <c r="S241" s="101" t="n">
        <v>4</v>
      </c>
      <c r="T241" s="101" t="s">
        <v>479</v>
      </c>
      <c r="U241" s="101" t="s">
        <v>124</v>
      </c>
      <c r="V241" s="101" t="n">
        <v>47.95</v>
      </c>
    </row>
    <row r="242" customFormat="false" ht="15" hidden="false" customHeight="true" outlineLevel="0" collapsed="false">
      <c r="A242" s="101" t="s">
        <v>1422</v>
      </c>
      <c r="B242" s="101" t="s">
        <v>1423</v>
      </c>
      <c r="C242" s="101" t="s">
        <v>1424</v>
      </c>
      <c r="D242" s="101" t="s">
        <v>721</v>
      </c>
      <c r="E242" s="101" t="s">
        <v>539</v>
      </c>
      <c r="F242" s="101" t="s">
        <v>530</v>
      </c>
      <c r="G242" s="101" t="s">
        <v>516</v>
      </c>
      <c r="H242" s="101" t="s">
        <v>484</v>
      </c>
      <c r="I242" s="101" t="s">
        <v>345</v>
      </c>
      <c r="J242" s="101" t="s">
        <v>115</v>
      </c>
      <c r="K242" s="101" t="s">
        <v>199</v>
      </c>
      <c r="L242" s="101" t="s">
        <v>795</v>
      </c>
      <c r="M242" s="101" t="n">
        <v>246</v>
      </c>
      <c r="N242" s="101" t="n">
        <v>1.4</v>
      </c>
      <c r="O242" s="101" t="n">
        <v>23.355</v>
      </c>
      <c r="P242" s="101" t="s">
        <v>113</v>
      </c>
      <c r="Q242" s="101" t="s">
        <v>113</v>
      </c>
      <c r="R242" s="101" t="s">
        <v>124</v>
      </c>
      <c r="S242" s="101" t="n">
        <v>5</v>
      </c>
      <c r="T242" s="101" t="s">
        <v>496</v>
      </c>
      <c r="U242" s="101" t="s">
        <v>124</v>
      </c>
      <c r="V242" s="101" t="n">
        <v>355.4</v>
      </c>
    </row>
    <row r="243" customFormat="false" ht="15" hidden="false" customHeight="true" outlineLevel="0" collapsed="false">
      <c r="A243" s="101" t="s">
        <v>1425</v>
      </c>
      <c r="B243" s="101" t="s">
        <v>1426</v>
      </c>
      <c r="C243" s="101" t="s">
        <v>1427</v>
      </c>
      <c r="D243" s="101" t="s">
        <v>1428</v>
      </c>
      <c r="E243" s="101" t="s">
        <v>483</v>
      </c>
      <c r="F243" s="101" t="s">
        <v>740</v>
      </c>
      <c r="G243" s="101" t="s">
        <v>560</v>
      </c>
      <c r="H243" s="101" t="s">
        <v>517</v>
      </c>
      <c r="I243" s="101" t="s">
        <v>345</v>
      </c>
      <c r="J243" s="101" t="s">
        <v>123</v>
      </c>
      <c r="K243" s="101" t="s">
        <v>112</v>
      </c>
      <c r="L243" s="101" t="s">
        <v>741</v>
      </c>
      <c r="M243" s="101" t="n">
        <v>17046</v>
      </c>
      <c r="N243" s="101" t="n">
        <v>0.91</v>
      </c>
      <c r="O243" s="101" t="n">
        <v>34.4</v>
      </c>
      <c r="P243" s="101" t="s">
        <v>124</v>
      </c>
      <c r="Q243" s="101" t="s">
        <v>113</v>
      </c>
      <c r="R243" s="101" t="s">
        <v>124</v>
      </c>
      <c r="S243" s="101" t="s">
        <v>486</v>
      </c>
      <c r="T243" s="101" t="s">
        <v>479</v>
      </c>
      <c r="U243" s="101" t="s">
        <v>124</v>
      </c>
      <c r="V243" s="101" t="n">
        <v>258</v>
      </c>
    </row>
    <row r="244" customFormat="false" ht="15" hidden="false" customHeight="true" outlineLevel="0" collapsed="false">
      <c r="A244" s="101" t="s">
        <v>1429</v>
      </c>
      <c r="B244" s="101" t="s">
        <v>1430</v>
      </c>
      <c r="C244" s="101" t="s">
        <v>1431</v>
      </c>
      <c r="D244" s="101" t="s">
        <v>1432</v>
      </c>
      <c r="E244" s="101" t="s">
        <v>514</v>
      </c>
      <c r="F244" s="101" t="s">
        <v>501</v>
      </c>
      <c r="G244" s="101" t="s">
        <v>502</v>
      </c>
      <c r="H244" s="101" t="s">
        <v>484</v>
      </c>
      <c r="I244" s="101" t="s">
        <v>345</v>
      </c>
      <c r="J244" s="101" t="s">
        <v>115</v>
      </c>
      <c r="K244" s="101" t="s">
        <v>120</v>
      </c>
      <c r="L244" s="101" t="s">
        <v>1433</v>
      </c>
      <c r="M244" s="101" t="n">
        <v>78</v>
      </c>
      <c r="N244" s="101" t="n">
        <v>19.03</v>
      </c>
      <c r="O244" s="101" t="n">
        <v>19.845</v>
      </c>
      <c r="P244" s="101" t="s">
        <v>113</v>
      </c>
      <c r="Q244" s="101" t="s">
        <v>113</v>
      </c>
      <c r="R244" s="101" t="s">
        <v>124</v>
      </c>
      <c r="S244" s="101" t="n">
        <v>4</v>
      </c>
      <c r="T244" s="101" t="s">
        <v>479</v>
      </c>
      <c r="U244" s="101" t="s">
        <v>124</v>
      </c>
      <c r="V244" s="101" t="n">
        <v>301.99</v>
      </c>
    </row>
    <row r="245" customFormat="false" ht="15" hidden="false" customHeight="true" outlineLevel="0" collapsed="false">
      <c r="A245" s="101" t="s">
        <v>1434</v>
      </c>
      <c r="B245" s="101" t="s">
        <v>1435</v>
      </c>
      <c r="C245" s="101" t="s">
        <v>1436</v>
      </c>
      <c r="D245" s="101" t="s">
        <v>739</v>
      </c>
      <c r="E245" s="101" t="s">
        <v>514</v>
      </c>
      <c r="F245" s="101" t="s">
        <v>545</v>
      </c>
      <c r="G245" s="101" t="s">
        <v>546</v>
      </c>
      <c r="H245" s="101" t="s">
        <v>509</v>
      </c>
      <c r="I245" s="101" t="s">
        <v>345</v>
      </c>
      <c r="J245" s="101" t="s">
        <v>118</v>
      </c>
      <c r="K245" s="101" t="s">
        <v>120</v>
      </c>
      <c r="L245" s="101" t="s">
        <v>655</v>
      </c>
      <c r="M245" s="101" t="n">
        <v>29</v>
      </c>
      <c r="N245" s="101" t="n">
        <v>1.42</v>
      </c>
      <c r="O245" s="101" t="n">
        <v>29.9</v>
      </c>
      <c r="P245" s="101" t="s">
        <v>113</v>
      </c>
      <c r="Q245" s="101" t="s">
        <v>113</v>
      </c>
      <c r="R245" s="101" t="s">
        <v>124</v>
      </c>
      <c r="S245" s="101" t="n">
        <v>4</v>
      </c>
      <c r="T245" s="101" t="s">
        <v>479</v>
      </c>
      <c r="U245" s="101" t="s">
        <v>124</v>
      </c>
      <c r="V245" s="101" t="n">
        <v>517.19</v>
      </c>
    </row>
    <row r="246" customFormat="false" ht="15" hidden="false" customHeight="true" outlineLevel="0" collapsed="false">
      <c r="A246" s="101" t="s">
        <v>1437</v>
      </c>
      <c r="B246" s="101" t="s">
        <v>1438</v>
      </c>
      <c r="C246" s="101" t="s">
        <v>1211</v>
      </c>
      <c r="D246" s="101" t="s">
        <v>737</v>
      </c>
      <c r="E246" s="101" t="s">
        <v>491</v>
      </c>
      <c r="F246" s="101" t="s">
        <v>508</v>
      </c>
      <c r="G246" s="101" t="s">
        <v>475</v>
      </c>
      <c r="H246" s="101" t="s">
        <v>484</v>
      </c>
      <c r="I246" s="101" t="s">
        <v>345</v>
      </c>
      <c r="J246" s="101" t="s">
        <v>118</v>
      </c>
      <c r="K246" s="101" t="s">
        <v>116</v>
      </c>
      <c r="L246" s="101" t="s">
        <v>973</v>
      </c>
      <c r="M246" s="101" t="n">
        <v>81</v>
      </c>
      <c r="N246" s="101" t="n">
        <v>2.62</v>
      </c>
      <c r="O246" s="101" t="n">
        <v>22.545</v>
      </c>
      <c r="P246" s="101" t="s">
        <v>113</v>
      </c>
      <c r="Q246" s="101" t="s">
        <v>113</v>
      </c>
      <c r="R246" s="101" t="s">
        <v>124</v>
      </c>
      <c r="S246" s="101" t="n">
        <v>4</v>
      </c>
      <c r="T246" s="101" t="s">
        <v>479</v>
      </c>
      <c r="U246" s="101" t="s">
        <v>124</v>
      </c>
      <c r="V246" s="101" t="n">
        <v>389.97</v>
      </c>
    </row>
    <row r="247" customFormat="false" ht="15" hidden="false" customHeight="true" outlineLevel="0" collapsed="false">
      <c r="A247" s="101" t="s">
        <v>1439</v>
      </c>
      <c r="B247" s="101" t="s">
        <v>1440</v>
      </c>
      <c r="C247" s="101" t="s">
        <v>1441</v>
      </c>
      <c r="D247" s="101" t="s">
        <v>1442</v>
      </c>
      <c r="E247" s="101" t="s">
        <v>491</v>
      </c>
      <c r="F247" s="101" t="s">
        <v>545</v>
      </c>
      <c r="G247" s="101" t="s">
        <v>546</v>
      </c>
      <c r="H247" s="101" t="s">
        <v>561</v>
      </c>
      <c r="I247" s="101" t="s">
        <v>345</v>
      </c>
      <c r="J247" s="101" t="s">
        <v>118</v>
      </c>
      <c r="K247" s="101" t="s">
        <v>120</v>
      </c>
      <c r="L247" s="101" t="s">
        <v>541</v>
      </c>
      <c r="M247" s="101" t="n">
        <v>36</v>
      </c>
      <c r="N247" s="101" t="n">
        <v>0.47</v>
      </c>
      <c r="O247" s="101" t="n">
        <v>25.9</v>
      </c>
      <c r="P247" s="101" t="s">
        <v>113</v>
      </c>
      <c r="Q247" s="101" t="s">
        <v>113</v>
      </c>
      <c r="R247" s="101" t="s">
        <v>124</v>
      </c>
      <c r="S247" s="101" t="n">
        <v>4</v>
      </c>
      <c r="T247" s="101" t="s">
        <v>479</v>
      </c>
      <c r="U247" s="101" t="s">
        <v>124</v>
      </c>
      <c r="V247" s="101" t="n">
        <v>448</v>
      </c>
    </row>
    <row r="248" customFormat="false" ht="15" hidden="false" customHeight="true" outlineLevel="0" collapsed="false">
      <c r="A248" s="101" t="s">
        <v>1443</v>
      </c>
      <c r="B248" s="101" t="s">
        <v>1444</v>
      </c>
      <c r="C248" s="101" t="s">
        <v>1195</v>
      </c>
      <c r="D248" s="101" t="s">
        <v>1445</v>
      </c>
      <c r="E248" s="101" t="s">
        <v>491</v>
      </c>
      <c r="F248" s="101" t="s">
        <v>530</v>
      </c>
      <c r="G248" s="101" t="s">
        <v>516</v>
      </c>
      <c r="H248" s="101" t="s">
        <v>476</v>
      </c>
      <c r="I248" s="101" t="s">
        <v>477</v>
      </c>
      <c r="J248" s="101" t="s">
        <v>118</v>
      </c>
      <c r="K248" s="101" t="s">
        <v>116</v>
      </c>
      <c r="L248" s="101" t="s">
        <v>1446</v>
      </c>
      <c r="M248" s="101" t="n">
        <v>50</v>
      </c>
      <c r="N248" s="101" t="n">
        <v>1.25</v>
      </c>
      <c r="O248" s="101" t="n">
        <v>16.47</v>
      </c>
      <c r="P248" s="101" t="s">
        <v>113</v>
      </c>
      <c r="Q248" s="101" t="s">
        <v>113</v>
      </c>
      <c r="R248" s="101" t="s">
        <v>124</v>
      </c>
      <c r="S248" s="101" t="s">
        <v>486</v>
      </c>
      <c r="T248" s="101" t="s">
        <v>479</v>
      </c>
      <c r="U248" s="101" t="s">
        <v>124</v>
      </c>
      <c r="V248" s="101" t="n">
        <v>284.89</v>
      </c>
    </row>
    <row r="249" customFormat="false" ht="15" hidden="false" customHeight="true" outlineLevel="0" collapsed="false">
      <c r="A249" s="101" t="s">
        <v>1447</v>
      </c>
      <c r="B249" s="101" t="s">
        <v>1448</v>
      </c>
      <c r="C249" s="101" t="s">
        <v>1449</v>
      </c>
      <c r="D249" s="101" t="s">
        <v>1256</v>
      </c>
      <c r="E249" s="101" t="s">
        <v>507</v>
      </c>
      <c r="F249" s="101" t="s">
        <v>559</v>
      </c>
      <c r="G249" s="101" t="s">
        <v>560</v>
      </c>
      <c r="H249" s="101" t="s">
        <v>517</v>
      </c>
      <c r="I249" s="101" t="s">
        <v>345</v>
      </c>
      <c r="J249" s="101" t="s">
        <v>115</v>
      </c>
      <c r="K249" s="101" t="s">
        <v>120</v>
      </c>
      <c r="L249" s="101" t="s">
        <v>1048</v>
      </c>
      <c r="M249" s="101" t="n">
        <v>268</v>
      </c>
      <c r="N249" s="101" t="n">
        <v>1.91</v>
      </c>
      <c r="O249" s="101" t="n">
        <v>6.7</v>
      </c>
      <c r="P249" s="101" t="s">
        <v>113</v>
      </c>
      <c r="Q249" s="101" t="s">
        <v>124</v>
      </c>
      <c r="R249" s="101" t="s">
        <v>124</v>
      </c>
      <c r="S249" s="101" t="s">
        <v>486</v>
      </c>
      <c r="T249" s="101" t="s">
        <v>479</v>
      </c>
      <c r="U249" s="101" t="s">
        <v>124</v>
      </c>
      <c r="V249" s="101" t="n">
        <v>101.96</v>
      </c>
    </row>
    <row r="250" customFormat="false" ht="15" hidden="false" customHeight="true" outlineLevel="0" collapsed="false">
      <c r="A250" s="101" t="s">
        <v>1450</v>
      </c>
      <c r="B250" s="101" t="s">
        <v>1451</v>
      </c>
      <c r="C250" s="101" t="s">
        <v>1367</v>
      </c>
      <c r="D250" s="101" t="s">
        <v>1452</v>
      </c>
      <c r="E250" s="101" t="s">
        <v>483</v>
      </c>
      <c r="F250" s="101" t="s">
        <v>559</v>
      </c>
      <c r="G250" s="101" t="s">
        <v>560</v>
      </c>
      <c r="H250" s="101" t="s">
        <v>673</v>
      </c>
      <c r="I250" s="101" t="s">
        <v>645</v>
      </c>
      <c r="J250" s="101" t="s">
        <v>118</v>
      </c>
      <c r="K250" s="101" t="s">
        <v>116</v>
      </c>
      <c r="L250" s="101" t="s">
        <v>677</v>
      </c>
      <c r="M250" s="101" t="n">
        <v>78</v>
      </c>
      <c r="N250" s="101" t="n">
        <v>1.38</v>
      </c>
      <c r="O250" s="101" t="n">
        <v>35.6</v>
      </c>
      <c r="P250" s="101" t="s">
        <v>113</v>
      </c>
      <c r="Q250" s="101" t="s">
        <v>113</v>
      </c>
      <c r="R250" s="101" t="s">
        <v>124</v>
      </c>
      <c r="S250" s="101" t="n">
        <v>5</v>
      </c>
      <c r="T250" s="101" t="s">
        <v>496</v>
      </c>
      <c r="U250" s="101" t="s">
        <v>124</v>
      </c>
      <c r="V250" s="101" t="n">
        <v>615.78</v>
      </c>
    </row>
    <row r="251" customFormat="false" ht="15" hidden="false" customHeight="true" outlineLevel="0" collapsed="false">
      <c r="A251" s="101" t="s">
        <v>1453</v>
      </c>
      <c r="B251" s="101" t="s">
        <v>1454</v>
      </c>
      <c r="C251" s="101" t="s">
        <v>1455</v>
      </c>
      <c r="D251" s="101" t="s">
        <v>1260</v>
      </c>
      <c r="E251" s="101" t="s">
        <v>514</v>
      </c>
      <c r="F251" s="101" t="s">
        <v>474</v>
      </c>
      <c r="G251" s="101" t="s">
        <v>475</v>
      </c>
      <c r="H251" s="101" t="s">
        <v>484</v>
      </c>
      <c r="I251" s="101" t="s">
        <v>345</v>
      </c>
      <c r="J251" s="101" t="s">
        <v>118</v>
      </c>
      <c r="K251" s="101" t="s">
        <v>120</v>
      </c>
      <c r="L251" s="101" t="s">
        <v>1048</v>
      </c>
      <c r="M251" s="101" t="n">
        <v>30</v>
      </c>
      <c r="N251" s="101" t="n">
        <v>3.98</v>
      </c>
      <c r="O251" s="101" t="n">
        <v>24.165</v>
      </c>
      <c r="P251" s="101" t="s">
        <v>113</v>
      </c>
      <c r="Q251" s="101" t="s">
        <v>113</v>
      </c>
      <c r="R251" s="101" t="s">
        <v>124</v>
      </c>
      <c r="S251" s="101" t="s">
        <v>486</v>
      </c>
      <c r="T251" s="101" t="s">
        <v>479</v>
      </c>
      <c r="U251" s="101" t="s">
        <v>124</v>
      </c>
      <c r="V251" s="101" t="n">
        <v>417.99</v>
      </c>
    </row>
    <row r="252" customFormat="false" ht="15" hidden="false" customHeight="true" outlineLevel="0" collapsed="false">
      <c r="A252" s="101" t="s">
        <v>1456</v>
      </c>
      <c r="B252" s="101" t="s">
        <v>1457</v>
      </c>
      <c r="C252" s="101" t="s">
        <v>957</v>
      </c>
      <c r="D252" s="101" t="s">
        <v>634</v>
      </c>
      <c r="E252" s="101" t="s">
        <v>514</v>
      </c>
      <c r="F252" s="101" t="s">
        <v>530</v>
      </c>
      <c r="G252" s="101" t="s">
        <v>516</v>
      </c>
      <c r="H252" s="101" t="s">
        <v>476</v>
      </c>
      <c r="I252" s="101" t="s">
        <v>477</v>
      </c>
      <c r="J252" s="101" t="s">
        <v>111</v>
      </c>
      <c r="K252" s="101" t="s">
        <v>120</v>
      </c>
      <c r="L252" s="101" t="s">
        <v>821</v>
      </c>
      <c r="M252" s="101" t="n">
        <v>214</v>
      </c>
      <c r="N252" s="101" t="n">
        <v>4.04</v>
      </c>
      <c r="O252" s="101" t="n">
        <v>22.95</v>
      </c>
      <c r="P252" s="101" t="s">
        <v>113</v>
      </c>
      <c r="Q252" s="101" t="s">
        <v>113</v>
      </c>
      <c r="R252" s="101" t="s">
        <v>124</v>
      </c>
      <c r="S252" s="101" t="n">
        <v>5</v>
      </c>
      <c r="T252" s="101" t="s">
        <v>496</v>
      </c>
      <c r="U252" s="101" t="s">
        <v>124</v>
      </c>
      <c r="V252" s="101" t="n">
        <v>323.65</v>
      </c>
    </row>
    <row r="253" customFormat="false" ht="15" hidden="false" customHeight="true" outlineLevel="0" collapsed="false">
      <c r="A253" s="101" t="s">
        <v>1458</v>
      </c>
      <c r="B253" s="101" t="s">
        <v>1459</v>
      </c>
      <c r="C253" s="101" t="s">
        <v>1460</v>
      </c>
      <c r="D253" s="101" t="s">
        <v>870</v>
      </c>
      <c r="E253" s="101" t="s">
        <v>507</v>
      </c>
      <c r="F253" s="101" t="s">
        <v>508</v>
      </c>
      <c r="G253" s="101" t="s">
        <v>475</v>
      </c>
      <c r="H253" s="101" t="s">
        <v>484</v>
      </c>
      <c r="I253" s="101" t="s">
        <v>345</v>
      </c>
      <c r="J253" s="101" t="s">
        <v>118</v>
      </c>
      <c r="K253" s="101" t="s">
        <v>112</v>
      </c>
      <c r="L253" s="101" t="s">
        <v>1461</v>
      </c>
      <c r="M253" s="101" t="n">
        <v>68</v>
      </c>
      <c r="N253" s="101" t="n">
        <v>23.98</v>
      </c>
      <c r="O253" s="101" t="n">
        <v>29.16</v>
      </c>
      <c r="P253" s="101" t="s">
        <v>113</v>
      </c>
      <c r="Q253" s="101" t="s">
        <v>113</v>
      </c>
      <c r="R253" s="101" t="s">
        <v>124</v>
      </c>
      <c r="S253" s="101"/>
      <c r="T253" s="101" t="s">
        <v>479</v>
      </c>
      <c r="U253" s="101" t="s">
        <v>124</v>
      </c>
      <c r="V253" s="101" t="n">
        <v>504.39</v>
      </c>
    </row>
    <row r="254" customFormat="false" ht="15" hidden="false" customHeight="true" outlineLevel="0" collapsed="false">
      <c r="A254" s="101" t="s">
        <v>1462</v>
      </c>
      <c r="B254" s="101" t="s">
        <v>1463</v>
      </c>
      <c r="C254" s="101" t="s">
        <v>1464</v>
      </c>
      <c r="D254" s="101" t="s">
        <v>1012</v>
      </c>
      <c r="E254" s="101" t="s">
        <v>491</v>
      </c>
      <c r="F254" s="101" t="s">
        <v>559</v>
      </c>
      <c r="G254" s="101" t="s">
        <v>560</v>
      </c>
      <c r="H254" s="101" t="s">
        <v>484</v>
      </c>
      <c r="I254" s="101" t="s">
        <v>345</v>
      </c>
      <c r="J254" s="101" t="s">
        <v>118</v>
      </c>
      <c r="K254" s="101" t="s">
        <v>112</v>
      </c>
      <c r="L254" s="101" t="s">
        <v>1264</v>
      </c>
      <c r="M254" s="101" t="n">
        <v>34</v>
      </c>
      <c r="N254" s="101" t="n">
        <v>19.4</v>
      </c>
      <c r="O254" s="101" t="n">
        <v>11.88</v>
      </c>
      <c r="P254" s="101" t="s">
        <v>113</v>
      </c>
      <c r="Q254" s="101" t="s">
        <v>113</v>
      </c>
      <c r="R254" s="101" t="s">
        <v>124</v>
      </c>
      <c r="S254" s="101" t="n">
        <v>3</v>
      </c>
      <c r="T254" s="101" t="s">
        <v>487</v>
      </c>
      <c r="U254" s="101" t="s">
        <v>124</v>
      </c>
      <c r="V254" s="101" t="n">
        <v>205.49</v>
      </c>
    </row>
    <row r="255" customFormat="false" ht="15" hidden="false" customHeight="true" outlineLevel="0" collapsed="false">
      <c r="A255" s="101" t="s">
        <v>1465</v>
      </c>
      <c r="B255" s="101" t="s">
        <v>1466</v>
      </c>
      <c r="C255" s="101" t="s">
        <v>1467</v>
      </c>
      <c r="D255" s="101" t="s">
        <v>506</v>
      </c>
      <c r="E255" s="101" t="s">
        <v>507</v>
      </c>
      <c r="F255" s="101" t="s">
        <v>515</v>
      </c>
      <c r="G255" s="101" t="s">
        <v>516</v>
      </c>
      <c r="H255" s="101" t="s">
        <v>476</v>
      </c>
      <c r="I255" s="101" t="s">
        <v>477</v>
      </c>
      <c r="J255" s="101" t="s">
        <v>123</v>
      </c>
      <c r="K255" s="101" t="s">
        <v>199</v>
      </c>
      <c r="L255" s="101" t="s">
        <v>1468</v>
      </c>
      <c r="M255" s="101" t="n">
        <v>24895</v>
      </c>
      <c r="N255" s="101" t="n">
        <v>5.06</v>
      </c>
      <c r="O255" s="101" t="n">
        <v>28.485</v>
      </c>
      <c r="P255" s="101" t="s">
        <v>124</v>
      </c>
      <c r="Q255" s="101" t="s">
        <v>124</v>
      </c>
      <c r="R255" s="101" t="s">
        <v>124</v>
      </c>
      <c r="S255" s="101"/>
      <c r="T255" s="101" t="s">
        <v>487</v>
      </c>
      <c r="U255" s="101" t="s">
        <v>124</v>
      </c>
      <c r="V255" s="101" t="n">
        <v>213.64</v>
      </c>
    </row>
    <row r="256" customFormat="false" ht="15" hidden="false" customHeight="true" outlineLevel="0" collapsed="false">
      <c r="A256" s="101" t="s">
        <v>1469</v>
      </c>
      <c r="B256" s="101" t="s">
        <v>1470</v>
      </c>
      <c r="C256" s="101" t="s">
        <v>1471</v>
      </c>
      <c r="D256" s="101" t="s">
        <v>1102</v>
      </c>
      <c r="E256" s="101" t="s">
        <v>473</v>
      </c>
      <c r="F256" s="101" t="s">
        <v>501</v>
      </c>
      <c r="G256" s="101" t="s">
        <v>502</v>
      </c>
      <c r="H256" s="101" t="s">
        <v>476</v>
      </c>
      <c r="I256" s="101" t="s">
        <v>477</v>
      </c>
      <c r="J256" s="101" t="s">
        <v>111</v>
      </c>
      <c r="K256" s="101" t="s">
        <v>116</v>
      </c>
      <c r="L256" s="101" t="s">
        <v>1472</v>
      </c>
      <c r="M256" s="101" t="n">
        <v>641</v>
      </c>
      <c r="N256" s="101" t="n">
        <v>6.07</v>
      </c>
      <c r="O256" s="101" t="n">
        <v>24.3</v>
      </c>
      <c r="P256" s="101" t="s">
        <v>113</v>
      </c>
      <c r="Q256" s="101" t="s">
        <v>113</v>
      </c>
      <c r="R256" s="101" t="s">
        <v>124</v>
      </c>
      <c r="S256" s="101" t="n">
        <v>5</v>
      </c>
      <c r="T256" s="101" t="s">
        <v>496</v>
      </c>
      <c r="U256" s="101" t="s">
        <v>124</v>
      </c>
      <c r="V256" s="101" t="n">
        <v>342.69</v>
      </c>
    </row>
    <row r="257" customFormat="false" ht="15" hidden="false" customHeight="true" outlineLevel="0" collapsed="false">
      <c r="A257" s="101" t="s">
        <v>1473</v>
      </c>
      <c r="B257" s="101" t="s">
        <v>1474</v>
      </c>
      <c r="C257" s="101" t="s">
        <v>1475</v>
      </c>
      <c r="D257" s="101" t="s">
        <v>1476</v>
      </c>
      <c r="E257" s="101" t="s">
        <v>539</v>
      </c>
      <c r="F257" s="101" t="s">
        <v>501</v>
      </c>
      <c r="G257" s="101" t="s">
        <v>502</v>
      </c>
      <c r="H257" s="101" t="s">
        <v>484</v>
      </c>
      <c r="I257" s="101" t="s">
        <v>345</v>
      </c>
      <c r="J257" s="101" t="s">
        <v>118</v>
      </c>
      <c r="K257" s="101" t="s">
        <v>120</v>
      </c>
      <c r="L257" s="101" t="s">
        <v>567</v>
      </c>
      <c r="M257" s="101" t="n">
        <v>72</v>
      </c>
      <c r="N257" s="101" t="n">
        <v>2.57</v>
      </c>
      <c r="O257" s="101" t="n">
        <v>43.74</v>
      </c>
      <c r="P257" s="101" t="s">
        <v>113</v>
      </c>
      <c r="Q257" s="101" t="s">
        <v>113</v>
      </c>
      <c r="R257" s="101" t="s">
        <v>124</v>
      </c>
      <c r="S257" s="101"/>
      <c r="T257" s="101" t="s">
        <v>479</v>
      </c>
      <c r="U257" s="101" t="s">
        <v>124</v>
      </c>
      <c r="V257" s="101" t="n">
        <v>756.58</v>
      </c>
    </row>
    <row r="258" customFormat="false" ht="15" hidden="false" customHeight="true" outlineLevel="0" collapsed="false">
      <c r="A258" s="101" t="s">
        <v>1477</v>
      </c>
      <c r="B258" s="101" t="s">
        <v>1478</v>
      </c>
      <c r="C258" s="101" t="s">
        <v>1479</v>
      </c>
      <c r="D258" s="101" t="s">
        <v>1480</v>
      </c>
      <c r="E258" s="101" t="s">
        <v>473</v>
      </c>
      <c r="F258" s="101" t="s">
        <v>740</v>
      </c>
      <c r="G258" s="101" t="s">
        <v>560</v>
      </c>
      <c r="H258" s="101" t="s">
        <v>509</v>
      </c>
      <c r="I258" s="101" t="s">
        <v>345</v>
      </c>
      <c r="J258" s="101" t="s">
        <v>115</v>
      </c>
      <c r="K258" s="101" t="s">
        <v>199</v>
      </c>
      <c r="L258" s="101" t="s">
        <v>1481</v>
      </c>
      <c r="M258" s="101" t="n">
        <v>73</v>
      </c>
      <c r="N258" s="101" t="n">
        <v>1.36</v>
      </c>
      <c r="O258" s="101" t="n">
        <v>8.5</v>
      </c>
      <c r="P258" s="101" t="s">
        <v>113</v>
      </c>
      <c r="Q258" s="101" t="s">
        <v>113</v>
      </c>
      <c r="R258" s="101" t="s">
        <v>124</v>
      </c>
      <c r="S258" s="101" t="n">
        <v>4</v>
      </c>
      <c r="T258" s="101" t="s">
        <v>479</v>
      </c>
      <c r="U258" s="101" t="s">
        <v>124</v>
      </c>
      <c r="V258" s="101" t="n">
        <v>129.35</v>
      </c>
    </row>
    <row r="259" customFormat="false" ht="15" hidden="false" customHeight="true" outlineLevel="0" collapsed="false">
      <c r="A259" s="101" t="s">
        <v>1482</v>
      </c>
      <c r="B259" s="101" t="s">
        <v>1483</v>
      </c>
      <c r="C259" s="101" t="s">
        <v>1484</v>
      </c>
      <c r="D259" s="101" t="s">
        <v>472</v>
      </c>
      <c r="E259" s="101" t="s">
        <v>473</v>
      </c>
      <c r="F259" s="101" t="s">
        <v>492</v>
      </c>
      <c r="G259" s="101" t="s">
        <v>475</v>
      </c>
      <c r="H259" s="101" t="s">
        <v>561</v>
      </c>
      <c r="I259" s="101" t="s">
        <v>345</v>
      </c>
      <c r="J259" s="101" t="s">
        <v>123</v>
      </c>
      <c r="K259" s="101" t="s">
        <v>120</v>
      </c>
      <c r="L259" s="101" t="s">
        <v>1237</v>
      </c>
      <c r="M259" s="101" t="n">
        <v>14567</v>
      </c>
      <c r="N259" s="101" t="n">
        <v>0.32</v>
      </c>
      <c r="O259" s="101" t="n">
        <v>13.9</v>
      </c>
      <c r="P259" s="101" t="s">
        <v>124</v>
      </c>
      <c r="Q259" s="101" t="s">
        <v>113</v>
      </c>
      <c r="R259" s="101" t="s">
        <v>124</v>
      </c>
      <c r="S259" s="101" t="n">
        <v>4</v>
      </c>
      <c r="T259" s="101" t="s">
        <v>479</v>
      </c>
      <c r="U259" s="101" t="s">
        <v>124</v>
      </c>
      <c r="V259" s="101" t="n">
        <v>104.25</v>
      </c>
    </row>
    <row r="260" customFormat="false" ht="15" hidden="false" customHeight="true" outlineLevel="0" collapsed="false">
      <c r="A260" s="101" t="s">
        <v>1485</v>
      </c>
      <c r="B260" s="101" t="s">
        <v>1486</v>
      </c>
      <c r="C260" s="101" t="s">
        <v>1487</v>
      </c>
      <c r="D260" s="101" t="s">
        <v>610</v>
      </c>
      <c r="E260" s="101" t="s">
        <v>473</v>
      </c>
      <c r="F260" s="101" t="s">
        <v>474</v>
      </c>
      <c r="G260" s="101" t="s">
        <v>475</v>
      </c>
      <c r="H260" s="101" t="s">
        <v>673</v>
      </c>
      <c r="I260" s="101" t="s">
        <v>645</v>
      </c>
      <c r="J260" s="101" t="s">
        <v>118</v>
      </c>
      <c r="K260" s="101" t="s">
        <v>120</v>
      </c>
      <c r="L260" s="101" t="s">
        <v>1237</v>
      </c>
      <c r="M260" s="101" t="n">
        <v>65</v>
      </c>
      <c r="N260" s="101" t="n">
        <v>7.89</v>
      </c>
      <c r="O260" s="101" t="n">
        <v>18.5</v>
      </c>
      <c r="P260" s="101" t="s">
        <v>113</v>
      </c>
      <c r="Q260" s="101" t="s">
        <v>113</v>
      </c>
      <c r="R260" s="101" t="s">
        <v>124</v>
      </c>
      <c r="S260" s="101" t="n">
        <v>4</v>
      </c>
      <c r="T260" s="101" t="s">
        <v>479</v>
      </c>
      <c r="U260" s="101" t="s">
        <v>124</v>
      </c>
      <c r="V260" s="101" t="n">
        <v>320</v>
      </c>
    </row>
    <row r="261" customFormat="false" ht="15" hidden="false" customHeight="true" outlineLevel="0" collapsed="false">
      <c r="A261" s="101" t="s">
        <v>1488</v>
      </c>
      <c r="B261" s="101" t="s">
        <v>1489</v>
      </c>
      <c r="C261" s="101" t="s">
        <v>1490</v>
      </c>
      <c r="D261" s="101" t="s">
        <v>1248</v>
      </c>
      <c r="E261" s="101" t="s">
        <v>507</v>
      </c>
      <c r="F261" s="101" t="s">
        <v>474</v>
      </c>
      <c r="G261" s="101" t="s">
        <v>475</v>
      </c>
      <c r="H261" s="101" t="s">
        <v>517</v>
      </c>
      <c r="I261" s="101" t="s">
        <v>345</v>
      </c>
      <c r="J261" s="101" t="s">
        <v>115</v>
      </c>
      <c r="K261" s="101" t="s">
        <v>199</v>
      </c>
      <c r="L261" s="101" t="s">
        <v>1491</v>
      </c>
      <c r="M261" s="101" t="n">
        <v>293</v>
      </c>
      <c r="N261" s="101" t="n">
        <v>1.11</v>
      </c>
      <c r="O261" s="101" t="n">
        <v>38.3</v>
      </c>
      <c r="P261" s="101" t="s">
        <v>113</v>
      </c>
      <c r="Q261" s="101" t="s">
        <v>124</v>
      </c>
      <c r="R261" s="101" t="s">
        <v>113</v>
      </c>
      <c r="S261" s="101"/>
      <c r="T261" s="101" t="s">
        <v>487</v>
      </c>
      <c r="U261" s="101" t="s">
        <v>124</v>
      </c>
      <c r="V261" s="101" t="n">
        <v>582.83</v>
      </c>
    </row>
    <row r="262" customFormat="false" ht="15" hidden="false" customHeight="true" outlineLevel="0" collapsed="false">
      <c r="A262" s="101" t="s">
        <v>1492</v>
      </c>
      <c r="B262" s="101" t="s">
        <v>1493</v>
      </c>
      <c r="C262" s="101" t="s">
        <v>1494</v>
      </c>
      <c r="D262" s="101" t="s">
        <v>859</v>
      </c>
      <c r="E262" s="101" t="s">
        <v>483</v>
      </c>
      <c r="F262" s="101" t="s">
        <v>492</v>
      </c>
      <c r="G262" s="101" t="s">
        <v>475</v>
      </c>
      <c r="H262" s="101" t="s">
        <v>540</v>
      </c>
      <c r="I262" s="101" t="s">
        <v>477</v>
      </c>
      <c r="J262" s="101" t="s">
        <v>115</v>
      </c>
      <c r="K262" s="101" t="s">
        <v>199</v>
      </c>
      <c r="L262" s="101" t="s">
        <v>1495</v>
      </c>
      <c r="M262" s="101" t="n">
        <v>82</v>
      </c>
      <c r="N262" s="101" t="n">
        <v>31.97</v>
      </c>
      <c r="O262" s="101" t="n">
        <v>7.3</v>
      </c>
      <c r="P262" s="101" t="s">
        <v>113</v>
      </c>
      <c r="Q262" s="101" t="s">
        <v>124</v>
      </c>
      <c r="R262" s="101" t="s">
        <v>124</v>
      </c>
      <c r="S262" s="101"/>
      <c r="T262" s="101" t="s">
        <v>487</v>
      </c>
      <c r="U262" s="101" t="s">
        <v>124</v>
      </c>
      <c r="V262" s="101" t="n">
        <v>111.09</v>
      </c>
    </row>
    <row r="263" customFormat="false" ht="15" hidden="false" customHeight="true" outlineLevel="0" collapsed="false">
      <c r="A263" s="101" t="s">
        <v>1496</v>
      </c>
      <c r="B263" s="101" t="s">
        <v>1497</v>
      </c>
      <c r="C263" s="101" t="s">
        <v>1498</v>
      </c>
      <c r="D263" s="101" t="s">
        <v>862</v>
      </c>
      <c r="E263" s="101" t="s">
        <v>491</v>
      </c>
      <c r="F263" s="101" t="s">
        <v>501</v>
      </c>
      <c r="G263" s="101" t="s">
        <v>502</v>
      </c>
      <c r="H263" s="101" t="s">
        <v>509</v>
      </c>
      <c r="I263" s="101" t="s">
        <v>345</v>
      </c>
      <c r="J263" s="101" t="s">
        <v>118</v>
      </c>
      <c r="K263" s="101" t="s">
        <v>116</v>
      </c>
      <c r="L263" s="101" t="s">
        <v>1499</v>
      </c>
      <c r="M263" s="101" t="n">
        <v>27</v>
      </c>
      <c r="N263" s="101" t="n">
        <v>1.01</v>
      </c>
      <c r="O263" s="101" t="n">
        <v>23.2</v>
      </c>
      <c r="P263" s="101" t="s">
        <v>113</v>
      </c>
      <c r="Q263" s="101" t="s">
        <v>113</v>
      </c>
      <c r="R263" s="101" t="s">
        <v>124</v>
      </c>
      <c r="S263" s="101" t="n">
        <v>4</v>
      </c>
      <c r="T263" s="101" t="s">
        <v>479</v>
      </c>
      <c r="U263" s="101" t="s">
        <v>124</v>
      </c>
      <c r="V263" s="101" t="n">
        <v>401.3</v>
      </c>
    </row>
    <row r="264" customFormat="false" ht="15" hidden="false" customHeight="true" outlineLevel="0" collapsed="false">
      <c r="A264" s="101" t="s">
        <v>1500</v>
      </c>
      <c r="B264" s="101" t="s">
        <v>1501</v>
      </c>
      <c r="C264" s="101" t="s">
        <v>1502</v>
      </c>
      <c r="D264" s="102" t="n">
        <v>45902.7111111111</v>
      </c>
      <c r="E264" s="101" t="s">
        <v>507</v>
      </c>
      <c r="F264" s="101" t="s">
        <v>508</v>
      </c>
      <c r="G264" s="101" t="s">
        <v>475</v>
      </c>
      <c r="H264" s="101" t="s">
        <v>673</v>
      </c>
      <c r="I264" s="101" t="s">
        <v>645</v>
      </c>
      <c r="J264" s="101" t="s">
        <v>115</v>
      </c>
      <c r="K264" s="101" t="s">
        <v>199</v>
      </c>
      <c r="L264" s="101" t="s">
        <v>1503</v>
      </c>
      <c r="M264" s="101" t="n">
        <v>160</v>
      </c>
      <c r="N264" s="101" t="n">
        <v>0.33</v>
      </c>
      <c r="O264" s="101" t="n">
        <v>8.5</v>
      </c>
      <c r="P264" s="101" t="s">
        <v>113</v>
      </c>
      <c r="Q264" s="101" t="s">
        <v>124</v>
      </c>
      <c r="R264" s="101" t="s">
        <v>113</v>
      </c>
      <c r="S264" s="101" t="n">
        <v>3</v>
      </c>
      <c r="T264" s="101" t="s">
        <v>487</v>
      </c>
      <c r="U264" s="101" t="s">
        <v>124</v>
      </c>
      <c r="V264" s="101" t="n">
        <v>129.35</v>
      </c>
    </row>
    <row r="265" customFormat="false" ht="15" hidden="false" customHeight="true" outlineLevel="0" collapsed="false">
      <c r="A265" s="101" t="s">
        <v>1504</v>
      </c>
      <c r="B265" s="101" t="s">
        <v>1505</v>
      </c>
      <c r="C265" s="101" t="s">
        <v>1506</v>
      </c>
      <c r="D265" s="101" t="s">
        <v>993</v>
      </c>
      <c r="E265" s="101" t="s">
        <v>539</v>
      </c>
      <c r="F265" s="101" t="s">
        <v>492</v>
      </c>
      <c r="G265" s="101" t="s">
        <v>475</v>
      </c>
      <c r="H265" s="101" t="s">
        <v>592</v>
      </c>
      <c r="I265" s="101" t="s">
        <v>593</v>
      </c>
      <c r="J265" s="101" t="s">
        <v>115</v>
      </c>
      <c r="K265" s="101" t="s">
        <v>120</v>
      </c>
      <c r="L265" s="101" t="s">
        <v>1353</v>
      </c>
      <c r="M265" s="101" t="n">
        <v>162</v>
      </c>
      <c r="N265" s="101" t="n">
        <v>11.85</v>
      </c>
      <c r="O265" s="101" t="n">
        <v>7.6</v>
      </c>
      <c r="P265" s="101" t="s">
        <v>113</v>
      </c>
      <c r="Q265" s="101" t="s">
        <v>113</v>
      </c>
      <c r="R265" s="101" t="s">
        <v>124</v>
      </c>
      <c r="S265" s="101"/>
      <c r="T265" s="101" t="s">
        <v>496</v>
      </c>
      <c r="U265" s="101" t="s">
        <v>124</v>
      </c>
      <c r="V265" s="101" t="n">
        <v>115.65</v>
      </c>
    </row>
    <row r="266" customFormat="false" ht="15" hidden="false" customHeight="true" outlineLevel="0" collapsed="false">
      <c r="A266" s="101" t="s">
        <v>1507</v>
      </c>
      <c r="B266" s="101" t="s">
        <v>1508</v>
      </c>
      <c r="C266" s="101" t="s">
        <v>1509</v>
      </c>
      <c r="D266" s="101" t="s">
        <v>1012</v>
      </c>
      <c r="E266" s="101" t="s">
        <v>491</v>
      </c>
      <c r="F266" s="101" t="s">
        <v>740</v>
      </c>
      <c r="G266" s="101" t="s">
        <v>560</v>
      </c>
      <c r="H266" s="101" t="s">
        <v>673</v>
      </c>
      <c r="I266" s="101" t="s">
        <v>645</v>
      </c>
      <c r="J266" s="101" t="s">
        <v>115</v>
      </c>
      <c r="K266" s="101" t="s">
        <v>120</v>
      </c>
      <c r="L266" s="101" t="s">
        <v>964</v>
      </c>
      <c r="M266" s="101" t="n">
        <v>266</v>
      </c>
      <c r="N266" s="101" t="n">
        <v>1.7</v>
      </c>
      <c r="O266" s="101" t="n">
        <v>7.7</v>
      </c>
      <c r="P266" s="101" t="s">
        <v>113</v>
      </c>
      <c r="Q266" s="101" t="s">
        <v>124</v>
      </c>
      <c r="R266" s="101" t="s">
        <v>124</v>
      </c>
      <c r="S266" s="101"/>
      <c r="T266" s="101" t="s">
        <v>487</v>
      </c>
      <c r="U266" s="101" t="s">
        <v>124</v>
      </c>
      <c r="V266" s="101" t="n">
        <v>117.17</v>
      </c>
    </row>
    <row r="267" customFormat="false" ht="15" hidden="false" customHeight="true" outlineLevel="0" collapsed="false">
      <c r="A267" s="101" t="s">
        <v>1510</v>
      </c>
      <c r="B267" s="101" t="s">
        <v>1511</v>
      </c>
      <c r="C267" s="101" t="s">
        <v>1512</v>
      </c>
      <c r="D267" s="101" t="s">
        <v>550</v>
      </c>
      <c r="E267" s="101" t="s">
        <v>500</v>
      </c>
      <c r="F267" s="101" t="s">
        <v>530</v>
      </c>
      <c r="G267" s="101" t="s">
        <v>516</v>
      </c>
      <c r="H267" s="101" t="s">
        <v>540</v>
      </c>
      <c r="I267" s="101" t="s">
        <v>477</v>
      </c>
      <c r="J267" s="101" t="s">
        <v>123</v>
      </c>
      <c r="K267" s="101" t="s">
        <v>112</v>
      </c>
      <c r="L267" s="101" t="s">
        <v>1513</v>
      </c>
      <c r="M267" s="101" t="n">
        <v>4244</v>
      </c>
      <c r="N267" s="101" t="n">
        <v>25.06</v>
      </c>
      <c r="O267" s="101" t="n">
        <v>18.1</v>
      </c>
      <c r="P267" s="101" t="s">
        <v>113</v>
      </c>
      <c r="Q267" s="101" t="s">
        <v>113</v>
      </c>
      <c r="R267" s="101" t="s">
        <v>124</v>
      </c>
      <c r="S267" s="101" t="s">
        <v>486</v>
      </c>
      <c r="T267" s="101" t="s">
        <v>479</v>
      </c>
      <c r="U267" s="101" t="s">
        <v>124</v>
      </c>
      <c r="V267" s="101" t="n">
        <v>135.75</v>
      </c>
    </row>
    <row r="268" customFormat="false" ht="15" hidden="false" customHeight="true" outlineLevel="0" collapsed="false">
      <c r="A268" s="101" t="s">
        <v>1514</v>
      </c>
      <c r="B268" s="101" t="s">
        <v>1515</v>
      </c>
      <c r="C268" s="101" t="s">
        <v>1516</v>
      </c>
      <c r="D268" s="101" t="s">
        <v>1142</v>
      </c>
      <c r="E268" s="101" t="s">
        <v>483</v>
      </c>
      <c r="F268" s="101" t="s">
        <v>508</v>
      </c>
      <c r="G268" s="101" t="s">
        <v>475</v>
      </c>
      <c r="H268" s="101" t="s">
        <v>517</v>
      </c>
      <c r="I268" s="101" t="s">
        <v>345</v>
      </c>
      <c r="J268" s="101" t="s">
        <v>115</v>
      </c>
      <c r="K268" s="101" t="s">
        <v>194</v>
      </c>
      <c r="L268" s="101" t="s">
        <v>1517</v>
      </c>
      <c r="M268" s="101" t="n">
        <v>162</v>
      </c>
      <c r="N268" s="101" t="n">
        <v>1.02</v>
      </c>
      <c r="O268" s="101" t="n">
        <v>11</v>
      </c>
      <c r="P268" s="101" t="s">
        <v>113</v>
      </c>
      <c r="Q268" s="101" t="s">
        <v>113</v>
      </c>
      <c r="R268" s="101" t="s">
        <v>124</v>
      </c>
      <c r="S268" s="101" t="n">
        <v>4</v>
      </c>
      <c r="T268" s="101" t="s">
        <v>479</v>
      </c>
      <c r="U268" s="101" t="s">
        <v>124</v>
      </c>
      <c r="V268" s="101" t="n">
        <v>167.39</v>
      </c>
    </row>
    <row r="269" customFormat="false" ht="15" hidden="false" customHeight="true" outlineLevel="0" collapsed="false">
      <c r="A269" s="101" t="s">
        <v>1518</v>
      </c>
      <c r="B269" s="101" t="s">
        <v>1519</v>
      </c>
      <c r="C269" s="101" t="s">
        <v>1520</v>
      </c>
      <c r="D269" s="101" t="s">
        <v>1428</v>
      </c>
      <c r="E269" s="101" t="s">
        <v>483</v>
      </c>
      <c r="F269" s="101" t="s">
        <v>474</v>
      </c>
      <c r="G269" s="101" t="s">
        <v>475</v>
      </c>
      <c r="H269" s="101" t="s">
        <v>476</v>
      </c>
      <c r="I269" s="101" t="s">
        <v>477</v>
      </c>
      <c r="J269" s="101" t="s">
        <v>115</v>
      </c>
      <c r="K269" s="101" t="s">
        <v>199</v>
      </c>
      <c r="L269" s="101" t="s">
        <v>664</v>
      </c>
      <c r="M269" s="101" t="n">
        <v>140</v>
      </c>
      <c r="N269" s="101" t="n">
        <v>1.39</v>
      </c>
      <c r="O269" s="101" t="n">
        <v>21.465</v>
      </c>
      <c r="P269" s="101" t="s">
        <v>113</v>
      </c>
      <c r="Q269" s="101" t="s">
        <v>113</v>
      </c>
      <c r="R269" s="101" t="s">
        <v>124</v>
      </c>
      <c r="S269" s="101" t="n">
        <v>4</v>
      </c>
      <c r="T269" s="101" t="s">
        <v>479</v>
      </c>
      <c r="U269" s="101" t="s">
        <v>124</v>
      </c>
      <c r="V269" s="101" t="n">
        <v>326.64</v>
      </c>
    </row>
    <row r="270" customFormat="false" ht="15" hidden="false" customHeight="true" outlineLevel="0" collapsed="false">
      <c r="A270" s="101" t="s">
        <v>1521</v>
      </c>
      <c r="B270" s="101" t="s">
        <v>1522</v>
      </c>
      <c r="C270" s="101" t="s">
        <v>1523</v>
      </c>
      <c r="D270" s="101" t="s">
        <v>1524</v>
      </c>
      <c r="E270" s="101" t="s">
        <v>483</v>
      </c>
      <c r="F270" s="101" t="s">
        <v>474</v>
      </c>
      <c r="G270" s="101" t="s">
        <v>475</v>
      </c>
      <c r="H270" s="101" t="s">
        <v>673</v>
      </c>
      <c r="I270" s="101" t="s">
        <v>645</v>
      </c>
      <c r="J270" s="101" t="s">
        <v>118</v>
      </c>
      <c r="K270" s="101" t="s">
        <v>120</v>
      </c>
      <c r="L270" s="101" t="s">
        <v>728</v>
      </c>
      <c r="M270" s="101" t="n">
        <v>70</v>
      </c>
      <c r="N270" s="101" t="n">
        <v>1.76</v>
      </c>
      <c r="O270" s="101" t="n">
        <v>7.5</v>
      </c>
      <c r="P270" s="101" t="s">
        <v>113</v>
      </c>
      <c r="Q270" s="101" t="s">
        <v>113</v>
      </c>
      <c r="R270" s="101" t="s">
        <v>124</v>
      </c>
      <c r="S270" s="101"/>
      <c r="T270" s="101" t="s">
        <v>496</v>
      </c>
      <c r="U270" s="101" t="s">
        <v>124</v>
      </c>
      <c r="V270" s="101" t="n">
        <v>129.73</v>
      </c>
    </row>
    <row r="271" customFormat="false" ht="15" hidden="false" customHeight="true" outlineLevel="0" collapsed="false">
      <c r="A271" s="101" t="s">
        <v>1525</v>
      </c>
      <c r="B271" s="101" t="s">
        <v>1526</v>
      </c>
      <c r="C271" s="101" t="s">
        <v>1527</v>
      </c>
      <c r="D271" s="101" t="s">
        <v>855</v>
      </c>
      <c r="E271" s="101" t="s">
        <v>507</v>
      </c>
      <c r="F271" s="101" t="s">
        <v>474</v>
      </c>
      <c r="G271" s="101" t="s">
        <v>475</v>
      </c>
      <c r="H271" s="101" t="s">
        <v>484</v>
      </c>
      <c r="I271" s="101" t="s">
        <v>345</v>
      </c>
      <c r="J271" s="101" t="s">
        <v>115</v>
      </c>
      <c r="K271" s="101" t="s">
        <v>112</v>
      </c>
      <c r="L271" s="101" t="s">
        <v>578</v>
      </c>
      <c r="M271" s="101" t="n">
        <v>292</v>
      </c>
      <c r="N271" s="101" t="n">
        <v>1.47</v>
      </c>
      <c r="O271" s="101" t="n">
        <v>7.425</v>
      </c>
      <c r="P271" s="101" t="s">
        <v>113</v>
      </c>
      <c r="Q271" s="101" t="s">
        <v>113</v>
      </c>
      <c r="R271" s="101" t="s">
        <v>124</v>
      </c>
      <c r="S271" s="101" t="n">
        <v>4</v>
      </c>
      <c r="T271" s="101" t="s">
        <v>479</v>
      </c>
      <c r="U271" s="101" t="s">
        <v>124</v>
      </c>
      <c r="V271" s="101" t="n">
        <v>112.99</v>
      </c>
    </row>
    <row r="272" customFormat="false" ht="15" hidden="false" customHeight="true" outlineLevel="0" collapsed="false">
      <c r="A272" s="101" t="s">
        <v>1528</v>
      </c>
      <c r="B272" s="101" t="s">
        <v>1529</v>
      </c>
      <c r="C272" s="101" t="s">
        <v>1530</v>
      </c>
      <c r="D272" s="101" t="s">
        <v>490</v>
      </c>
      <c r="E272" s="101" t="s">
        <v>491</v>
      </c>
      <c r="F272" s="101" t="s">
        <v>474</v>
      </c>
      <c r="G272" s="101" t="s">
        <v>475</v>
      </c>
      <c r="H272" s="101" t="s">
        <v>673</v>
      </c>
      <c r="I272" s="101" t="s">
        <v>645</v>
      </c>
      <c r="J272" s="101" t="s">
        <v>118</v>
      </c>
      <c r="K272" s="101" t="s">
        <v>120</v>
      </c>
      <c r="L272" s="101" t="s">
        <v>1353</v>
      </c>
      <c r="M272" s="101" t="n">
        <v>77</v>
      </c>
      <c r="N272" s="101" t="n">
        <v>0.73</v>
      </c>
      <c r="O272" s="101" t="n">
        <v>29.2</v>
      </c>
      <c r="P272" s="101" t="s">
        <v>113</v>
      </c>
      <c r="Q272" s="101" t="s">
        <v>113</v>
      </c>
      <c r="R272" s="101" t="s">
        <v>124</v>
      </c>
      <c r="S272" s="101" t="n">
        <v>4</v>
      </c>
      <c r="T272" s="101" t="s">
        <v>479</v>
      </c>
      <c r="U272" s="101" t="s">
        <v>124</v>
      </c>
      <c r="V272" s="101" t="n">
        <v>505.08</v>
      </c>
    </row>
    <row r="273" customFormat="false" ht="15" hidden="false" customHeight="true" outlineLevel="0" collapsed="false">
      <c r="A273" s="101" t="s">
        <v>1531</v>
      </c>
      <c r="B273" s="101" t="s">
        <v>1532</v>
      </c>
      <c r="C273" s="101" t="s">
        <v>1154</v>
      </c>
      <c r="D273" s="101" t="s">
        <v>1533</v>
      </c>
      <c r="E273" s="101" t="s">
        <v>473</v>
      </c>
      <c r="F273" s="101" t="s">
        <v>508</v>
      </c>
      <c r="G273" s="101" t="s">
        <v>475</v>
      </c>
      <c r="H273" s="101" t="s">
        <v>540</v>
      </c>
      <c r="I273" s="101" t="s">
        <v>477</v>
      </c>
      <c r="J273" s="101" t="s">
        <v>123</v>
      </c>
      <c r="K273" s="101" t="s">
        <v>120</v>
      </c>
      <c r="L273" s="101" t="s">
        <v>1353</v>
      </c>
      <c r="M273" s="101" t="n">
        <v>7241</v>
      </c>
      <c r="N273" s="101" t="n">
        <v>1.9</v>
      </c>
      <c r="O273" s="101" t="n">
        <v>14.1</v>
      </c>
      <c r="P273" s="101" t="s">
        <v>113</v>
      </c>
      <c r="Q273" s="101" t="s">
        <v>113</v>
      </c>
      <c r="R273" s="101" t="s">
        <v>124</v>
      </c>
      <c r="S273" s="101"/>
      <c r="T273" s="101" t="s">
        <v>479</v>
      </c>
      <c r="U273" s="101" t="s">
        <v>124</v>
      </c>
      <c r="V273" s="101" t="n">
        <v>105.75</v>
      </c>
    </row>
    <row r="274" customFormat="false" ht="15" hidden="false" customHeight="true" outlineLevel="0" collapsed="false">
      <c r="A274" s="101" t="s">
        <v>1534</v>
      </c>
      <c r="B274" s="101" t="s">
        <v>1535</v>
      </c>
      <c r="C274" s="101" t="s">
        <v>1536</v>
      </c>
      <c r="D274" s="101" t="s">
        <v>554</v>
      </c>
      <c r="E274" s="101" t="s">
        <v>483</v>
      </c>
      <c r="F274" s="101" t="s">
        <v>545</v>
      </c>
      <c r="G274" s="101" t="s">
        <v>546</v>
      </c>
      <c r="H274" s="101" t="s">
        <v>493</v>
      </c>
      <c r="I274" s="101" t="s">
        <v>494</v>
      </c>
      <c r="J274" s="101" t="s">
        <v>115</v>
      </c>
      <c r="K274" s="101" t="s">
        <v>194</v>
      </c>
      <c r="L274" s="101" t="s">
        <v>1537</v>
      </c>
      <c r="M274" s="101" t="n">
        <v>232</v>
      </c>
      <c r="N274" s="101" t="n">
        <v>7.06</v>
      </c>
      <c r="O274" s="101" t="n">
        <v>4.42</v>
      </c>
      <c r="P274" s="101" t="s">
        <v>113</v>
      </c>
      <c r="Q274" s="101" t="s">
        <v>113</v>
      </c>
      <c r="R274" s="101" t="s">
        <v>124</v>
      </c>
      <c r="S274" s="101" t="n">
        <v>4</v>
      </c>
      <c r="T274" s="101" t="s">
        <v>479</v>
      </c>
      <c r="U274" s="101" t="s">
        <v>124</v>
      </c>
      <c r="V274" s="101" t="n">
        <v>67.26</v>
      </c>
    </row>
    <row r="275" customFormat="false" ht="15" hidden="false" customHeight="true" outlineLevel="0" collapsed="false">
      <c r="A275" s="101" t="s">
        <v>1538</v>
      </c>
      <c r="B275" s="101" t="s">
        <v>1539</v>
      </c>
      <c r="C275" s="101" t="s">
        <v>1540</v>
      </c>
      <c r="D275" s="101" t="s">
        <v>1541</v>
      </c>
      <c r="E275" s="101" t="s">
        <v>483</v>
      </c>
      <c r="F275" s="101" t="s">
        <v>508</v>
      </c>
      <c r="G275" s="101" t="s">
        <v>475</v>
      </c>
      <c r="H275" s="101" t="s">
        <v>561</v>
      </c>
      <c r="I275" s="101" t="s">
        <v>345</v>
      </c>
      <c r="J275" s="101" t="s">
        <v>111</v>
      </c>
      <c r="K275" s="101" t="s">
        <v>120</v>
      </c>
      <c r="L275" s="101" t="s">
        <v>1168</v>
      </c>
      <c r="M275" s="101" t="n">
        <v>88</v>
      </c>
      <c r="N275" s="101" t="n">
        <v>0.49</v>
      </c>
      <c r="O275" s="101" t="n">
        <v>9</v>
      </c>
      <c r="P275" s="101" t="s">
        <v>113</v>
      </c>
      <c r="Q275" s="101" t="s">
        <v>113</v>
      </c>
      <c r="R275" s="101" t="s">
        <v>124</v>
      </c>
      <c r="S275" s="101" t="n">
        <v>4</v>
      </c>
      <c r="T275" s="101" t="s">
        <v>479</v>
      </c>
      <c r="U275" s="101" t="s">
        <v>124</v>
      </c>
      <c r="V275" s="101" t="n">
        <v>126.92</v>
      </c>
    </row>
    <row r="276" customFormat="false" ht="15" hidden="false" customHeight="true" outlineLevel="0" collapsed="false">
      <c r="A276" s="101" t="s">
        <v>1542</v>
      </c>
      <c r="B276" s="101" t="s">
        <v>1543</v>
      </c>
      <c r="C276" s="101" t="s">
        <v>1544</v>
      </c>
      <c r="D276" s="101" t="s">
        <v>1372</v>
      </c>
      <c r="E276" s="101" t="s">
        <v>500</v>
      </c>
      <c r="F276" s="101" t="s">
        <v>566</v>
      </c>
      <c r="G276" s="101" t="s">
        <v>546</v>
      </c>
      <c r="H276" s="101" t="s">
        <v>476</v>
      </c>
      <c r="I276" s="101" t="s">
        <v>477</v>
      </c>
      <c r="J276" s="101" t="s">
        <v>115</v>
      </c>
      <c r="K276" s="101" t="s">
        <v>116</v>
      </c>
      <c r="L276" s="101" t="s">
        <v>1075</v>
      </c>
      <c r="M276" s="101" t="n">
        <v>164</v>
      </c>
      <c r="N276" s="101" t="n">
        <v>39.04</v>
      </c>
      <c r="O276" s="101" t="n">
        <v>9.18</v>
      </c>
      <c r="P276" s="101" t="s">
        <v>113</v>
      </c>
      <c r="Q276" s="101" t="s">
        <v>124</v>
      </c>
      <c r="R276" s="101" t="s">
        <v>113</v>
      </c>
      <c r="S276" s="101" t="n">
        <v>3</v>
      </c>
      <c r="T276" s="101" t="s">
        <v>487</v>
      </c>
      <c r="U276" s="101" t="s">
        <v>124</v>
      </c>
      <c r="V276" s="101" t="n">
        <v>139.7</v>
      </c>
    </row>
    <row r="277" customFormat="false" ht="15" hidden="false" customHeight="true" outlineLevel="0" collapsed="false">
      <c r="A277" s="101" t="s">
        <v>1545</v>
      </c>
      <c r="B277" s="101" t="s">
        <v>1546</v>
      </c>
      <c r="C277" s="101" t="s">
        <v>1547</v>
      </c>
      <c r="D277" s="101" t="s">
        <v>1548</v>
      </c>
      <c r="E277" s="101" t="s">
        <v>514</v>
      </c>
      <c r="F277" s="101" t="s">
        <v>566</v>
      </c>
      <c r="G277" s="101" t="s">
        <v>546</v>
      </c>
      <c r="H277" s="101" t="s">
        <v>484</v>
      </c>
      <c r="I277" s="101" t="s">
        <v>345</v>
      </c>
      <c r="J277" s="101" t="s">
        <v>111</v>
      </c>
      <c r="K277" s="101" t="s">
        <v>199</v>
      </c>
      <c r="L277" s="101" t="s">
        <v>615</v>
      </c>
      <c r="M277" s="101" t="n">
        <v>94</v>
      </c>
      <c r="N277" s="101" t="n">
        <v>4.73</v>
      </c>
      <c r="O277" s="101" t="n">
        <v>9.585</v>
      </c>
      <c r="P277" s="101" t="s">
        <v>113</v>
      </c>
      <c r="Q277" s="101" t="s">
        <v>113</v>
      </c>
      <c r="R277" s="101" t="s">
        <v>124</v>
      </c>
      <c r="S277" s="101" t="s">
        <v>486</v>
      </c>
      <c r="T277" s="101" t="s">
        <v>479</v>
      </c>
      <c r="U277" s="101" t="s">
        <v>124</v>
      </c>
      <c r="V277" s="101" t="n">
        <v>135.17</v>
      </c>
    </row>
    <row r="278" customFormat="false" ht="15" hidden="false" customHeight="true" outlineLevel="0" collapsed="false">
      <c r="A278" s="101" t="s">
        <v>1549</v>
      </c>
      <c r="B278" s="101" t="s">
        <v>1550</v>
      </c>
      <c r="C278" s="101" t="s">
        <v>1551</v>
      </c>
      <c r="D278" s="101" t="s">
        <v>1405</v>
      </c>
      <c r="E278" s="101" t="s">
        <v>483</v>
      </c>
      <c r="F278" s="101" t="s">
        <v>530</v>
      </c>
      <c r="G278" s="101" t="s">
        <v>516</v>
      </c>
      <c r="H278" s="101" t="s">
        <v>673</v>
      </c>
      <c r="I278" s="101" t="s">
        <v>645</v>
      </c>
      <c r="J278" s="101" t="s">
        <v>118</v>
      </c>
      <c r="K278" s="101" t="s">
        <v>194</v>
      </c>
      <c r="L278" s="101" t="s">
        <v>1552</v>
      </c>
      <c r="M278" s="101" t="n">
        <v>57</v>
      </c>
      <c r="N278" s="101" t="n">
        <v>3.07</v>
      </c>
      <c r="O278" s="101" t="n">
        <v>34.6</v>
      </c>
      <c r="P278" s="101" t="s">
        <v>113</v>
      </c>
      <c r="Q278" s="101" t="s">
        <v>113</v>
      </c>
      <c r="R278" s="101" t="s">
        <v>124</v>
      </c>
      <c r="S278" s="101" t="n">
        <v>4</v>
      </c>
      <c r="T278" s="101" t="s">
        <v>479</v>
      </c>
      <c r="U278" s="101" t="s">
        <v>124</v>
      </c>
      <c r="V278" s="101" t="n">
        <v>598.49</v>
      </c>
    </row>
    <row r="279" customFormat="false" ht="15" hidden="false" customHeight="true" outlineLevel="0" collapsed="false">
      <c r="A279" s="101" t="s">
        <v>1553</v>
      </c>
      <c r="B279" s="101" t="s">
        <v>1554</v>
      </c>
      <c r="C279" s="101" t="s">
        <v>1555</v>
      </c>
      <c r="D279" s="101" t="s">
        <v>708</v>
      </c>
      <c r="E279" s="101" t="s">
        <v>500</v>
      </c>
      <c r="F279" s="101" t="s">
        <v>530</v>
      </c>
      <c r="G279" s="101" t="s">
        <v>516</v>
      </c>
      <c r="H279" s="101" t="s">
        <v>517</v>
      </c>
      <c r="I279" s="101" t="s">
        <v>345</v>
      </c>
      <c r="J279" s="101" t="s">
        <v>111</v>
      </c>
      <c r="K279" s="101" t="s">
        <v>120</v>
      </c>
      <c r="L279" s="101" t="s">
        <v>1237</v>
      </c>
      <c r="M279" s="101" t="n">
        <v>257</v>
      </c>
      <c r="N279" s="101" t="n">
        <v>2.06</v>
      </c>
      <c r="O279" s="101" t="n">
        <v>10.6</v>
      </c>
      <c r="P279" s="101" t="s">
        <v>113</v>
      </c>
      <c r="Q279" s="101" t="s">
        <v>124</v>
      </c>
      <c r="R279" s="101" t="s">
        <v>124</v>
      </c>
      <c r="S279" s="101" t="n">
        <v>3</v>
      </c>
      <c r="T279" s="101" t="s">
        <v>487</v>
      </c>
      <c r="U279" s="101" t="s">
        <v>124</v>
      </c>
      <c r="V279" s="101" t="n">
        <v>149.49</v>
      </c>
    </row>
    <row r="280" customFormat="false" ht="15" hidden="false" customHeight="true" outlineLevel="0" collapsed="false">
      <c r="A280" s="101" t="s">
        <v>1556</v>
      </c>
      <c r="B280" s="101" t="s">
        <v>1557</v>
      </c>
      <c r="C280" s="101" t="s">
        <v>1558</v>
      </c>
      <c r="D280" s="101" t="s">
        <v>1382</v>
      </c>
      <c r="E280" s="101" t="s">
        <v>500</v>
      </c>
      <c r="F280" s="101" t="s">
        <v>508</v>
      </c>
      <c r="G280" s="101" t="s">
        <v>475</v>
      </c>
      <c r="H280" s="101" t="s">
        <v>880</v>
      </c>
      <c r="I280" s="101" t="s">
        <v>881</v>
      </c>
      <c r="J280" s="101" t="s">
        <v>118</v>
      </c>
      <c r="K280" s="101" t="s">
        <v>112</v>
      </c>
      <c r="L280" s="101" t="s">
        <v>1121</v>
      </c>
      <c r="M280" s="101" t="n">
        <v>48</v>
      </c>
      <c r="N280" s="101" t="n">
        <v>3.42</v>
      </c>
      <c r="O280" s="101" t="n">
        <v>46.325</v>
      </c>
      <c r="P280" s="101" t="s">
        <v>113</v>
      </c>
      <c r="Q280" s="101" t="s">
        <v>113</v>
      </c>
      <c r="R280" s="101" t="s">
        <v>124</v>
      </c>
      <c r="S280" s="101" t="s">
        <v>486</v>
      </c>
      <c r="T280" s="101" t="s">
        <v>479</v>
      </c>
      <c r="U280" s="101" t="s">
        <v>124</v>
      </c>
      <c r="V280" s="101" t="n">
        <v>801.3</v>
      </c>
    </row>
    <row r="281" customFormat="false" ht="15" hidden="false" customHeight="true" outlineLevel="0" collapsed="false">
      <c r="A281" s="101" t="s">
        <v>1559</v>
      </c>
      <c r="B281" s="101" t="s">
        <v>1560</v>
      </c>
      <c r="C281" s="101" t="s">
        <v>1561</v>
      </c>
      <c r="D281" s="101" t="s">
        <v>1399</v>
      </c>
      <c r="E281" s="101" t="s">
        <v>507</v>
      </c>
      <c r="F281" s="101" t="s">
        <v>474</v>
      </c>
      <c r="G281" s="101" t="s">
        <v>475</v>
      </c>
      <c r="H281" s="101" t="s">
        <v>727</v>
      </c>
      <c r="I281" s="101" t="s">
        <v>645</v>
      </c>
      <c r="J281" s="101" t="s">
        <v>118</v>
      </c>
      <c r="K281" s="101" t="s">
        <v>199</v>
      </c>
      <c r="L281" s="101" t="s">
        <v>1143</v>
      </c>
      <c r="M281" s="101" t="n">
        <v>93</v>
      </c>
      <c r="N281" s="101" t="n">
        <v>6.33</v>
      </c>
      <c r="O281" s="101" t="n">
        <v>38.9</v>
      </c>
      <c r="P281" s="101" t="s">
        <v>113</v>
      </c>
      <c r="Q281" s="101" t="s">
        <v>124</v>
      </c>
      <c r="R281" s="101" t="s">
        <v>124</v>
      </c>
      <c r="S281" s="101" t="s">
        <v>486</v>
      </c>
      <c r="T281" s="101" t="s">
        <v>479</v>
      </c>
      <c r="U281" s="101" t="s">
        <v>124</v>
      </c>
      <c r="V281" s="101" t="n">
        <v>672.86</v>
      </c>
    </row>
    <row r="282" customFormat="false" ht="15" hidden="false" customHeight="true" outlineLevel="0" collapsed="false">
      <c r="A282" s="101" t="s">
        <v>1562</v>
      </c>
      <c r="B282" s="101" t="s">
        <v>1563</v>
      </c>
      <c r="C282" s="101" t="s">
        <v>1564</v>
      </c>
      <c r="D282" s="101" t="s">
        <v>1432</v>
      </c>
      <c r="E282" s="101" t="s">
        <v>514</v>
      </c>
      <c r="F282" s="101" t="s">
        <v>474</v>
      </c>
      <c r="G282" s="101" t="s">
        <v>475</v>
      </c>
      <c r="H282" s="101" t="s">
        <v>517</v>
      </c>
      <c r="I282" s="101" t="s">
        <v>345</v>
      </c>
      <c r="J282" s="101" t="s">
        <v>115</v>
      </c>
      <c r="K282" s="101" t="s">
        <v>116</v>
      </c>
      <c r="L282" s="101" t="s">
        <v>1565</v>
      </c>
      <c r="M282" s="101" t="n">
        <v>279</v>
      </c>
      <c r="N282" s="101" t="n">
        <v>0.33</v>
      </c>
      <c r="O282" s="101" t="n">
        <v>7.6</v>
      </c>
      <c r="P282" s="101" t="s">
        <v>113</v>
      </c>
      <c r="Q282" s="101" t="s">
        <v>113</v>
      </c>
      <c r="R282" s="101" t="s">
        <v>124</v>
      </c>
      <c r="S282" s="101" t="n">
        <v>5</v>
      </c>
      <c r="T282" s="101" t="s">
        <v>496</v>
      </c>
      <c r="U282" s="101" t="s">
        <v>124</v>
      </c>
      <c r="V282" s="101" t="n">
        <v>115.65</v>
      </c>
    </row>
    <row r="283" customFormat="false" ht="15" hidden="false" customHeight="true" outlineLevel="0" collapsed="false">
      <c r="A283" s="101" t="s">
        <v>1566</v>
      </c>
      <c r="B283" s="101" t="s">
        <v>1567</v>
      </c>
      <c r="C283" s="101" t="s">
        <v>1568</v>
      </c>
      <c r="D283" s="101" t="s">
        <v>1569</v>
      </c>
      <c r="E283" s="101" t="s">
        <v>507</v>
      </c>
      <c r="F283" s="101" t="s">
        <v>530</v>
      </c>
      <c r="G283" s="101" t="s">
        <v>516</v>
      </c>
      <c r="H283" s="101" t="s">
        <v>727</v>
      </c>
      <c r="I283" s="101" t="s">
        <v>645</v>
      </c>
      <c r="J283" s="101" t="s">
        <v>118</v>
      </c>
      <c r="K283" s="101" t="s">
        <v>112</v>
      </c>
      <c r="L283" s="101" t="s">
        <v>745</v>
      </c>
      <c r="M283" s="101" t="n">
        <v>101</v>
      </c>
      <c r="N283" s="101" t="n">
        <v>1.45</v>
      </c>
      <c r="O283" s="101" t="n">
        <v>19.3</v>
      </c>
      <c r="P283" s="101" t="s">
        <v>113</v>
      </c>
      <c r="Q283" s="101" t="s">
        <v>113</v>
      </c>
      <c r="R283" s="101" t="s">
        <v>124</v>
      </c>
      <c r="S283" s="101" t="n">
        <v>4</v>
      </c>
      <c r="T283" s="101" t="s">
        <v>479</v>
      </c>
      <c r="U283" s="101" t="s">
        <v>124</v>
      </c>
      <c r="V283" s="101" t="n">
        <v>333.84</v>
      </c>
    </row>
    <row r="284" customFormat="false" ht="15" hidden="false" customHeight="true" outlineLevel="0" collapsed="false">
      <c r="A284" s="101" t="s">
        <v>1570</v>
      </c>
      <c r="B284" s="101" t="s">
        <v>1571</v>
      </c>
      <c r="C284" s="101" t="s">
        <v>1572</v>
      </c>
      <c r="D284" s="101" t="s">
        <v>1260</v>
      </c>
      <c r="E284" s="101" t="s">
        <v>514</v>
      </c>
      <c r="F284" s="101" t="s">
        <v>508</v>
      </c>
      <c r="G284" s="101" t="s">
        <v>475</v>
      </c>
      <c r="H284" s="101" t="s">
        <v>727</v>
      </c>
      <c r="I284" s="101" t="s">
        <v>645</v>
      </c>
      <c r="J284" s="101" t="s">
        <v>118</v>
      </c>
      <c r="K284" s="101" t="s">
        <v>120</v>
      </c>
      <c r="L284" s="101" t="s">
        <v>1573</v>
      </c>
      <c r="M284" s="101" t="n">
        <v>89</v>
      </c>
      <c r="N284" s="101" t="n">
        <v>6.61</v>
      </c>
      <c r="O284" s="101" t="n">
        <v>18.1</v>
      </c>
      <c r="P284" s="101" t="s">
        <v>113</v>
      </c>
      <c r="Q284" s="101" t="s">
        <v>113</v>
      </c>
      <c r="R284" s="101" t="s">
        <v>124</v>
      </c>
      <c r="S284" s="101" t="s">
        <v>486</v>
      </c>
      <c r="T284" s="101" t="s">
        <v>496</v>
      </c>
      <c r="U284" s="101" t="s">
        <v>124</v>
      </c>
      <c r="V284" s="101" t="n">
        <v>313.08</v>
      </c>
    </row>
    <row r="285" customFormat="false" ht="15" hidden="false" customHeight="true" outlineLevel="0" collapsed="false">
      <c r="A285" s="101" t="s">
        <v>1574</v>
      </c>
      <c r="B285" s="101" t="s">
        <v>1575</v>
      </c>
      <c r="C285" s="101" t="s">
        <v>987</v>
      </c>
      <c r="D285" s="101" t="s">
        <v>1576</v>
      </c>
      <c r="E285" s="101" t="s">
        <v>507</v>
      </c>
      <c r="F285" s="101" t="s">
        <v>492</v>
      </c>
      <c r="G285" s="101" t="s">
        <v>475</v>
      </c>
      <c r="H285" s="101" t="s">
        <v>592</v>
      </c>
      <c r="I285" s="101" t="s">
        <v>593</v>
      </c>
      <c r="J285" s="101" t="s">
        <v>111</v>
      </c>
      <c r="K285" s="101" t="s">
        <v>116</v>
      </c>
      <c r="L285" s="101" t="s">
        <v>1577</v>
      </c>
      <c r="M285" s="101" t="n">
        <v>662</v>
      </c>
      <c r="N285" s="101" t="n">
        <v>0.42</v>
      </c>
      <c r="O285" s="101" t="n">
        <v>6.3</v>
      </c>
      <c r="P285" s="101" t="s">
        <v>113</v>
      </c>
      <c r="Q285" s="101" t="s">
        <v>113</v>
      </c>
      <c r="R285" s="101" t="s">
        <v>124</v>
      </c>
      <c r="S285" s="101" t="n">
        <v>5</v>
      </c>
      <c r="T285" s="101" t="s">
        <v>496</v>
      </c>
      <c r="U285" s="101" t="s">
        <v>124</v>
      </c>
      <c r="V285" s="101" t="n">
        <v>88.85</v>
      </c>
    </row>
    <row r="286" customFormat="false" ht="15" hidden="false" customHeight="true" outlineLevel="0" collapsed="false">
      <c r="A286" s="101" t="s">
        <v>1578</v>
      </c>
      <c r="B286" s="101" t="s">
        <v>1579</v>
      </c>
      <c r="C286" s="101" t="s">
        <v>1580</v>
      </c>
      <c r="D286" s="101" t="s">
        <v>1581</v>
      </c>
      <c r="E286" s="101" t="s">
        <v>491</v>
      </c>
      <c r="F286" s="101" t="s">
        <v>474</v>
      </c>
      <c r="G286" s="101" t="s">
        <v>475</v>
      </c>
      <c r="H286" s="101" t="s">
        <v>476</v>
      </c>
      <c r="I286" s="101" t="s">
        <v>477</v>
      </c>
      <c r="J286" s="101" t="s">
        <v>115</v>
      </c>
      <c r="K286" s="101" t="s">
        <v>112</v>
      </c>
      <c r="L286" s="101" t="s">
        <v>495</v>
      </c>
      <c r="M286" s="101" t="n">
        <v>213</v>
      </c>
      <c r="N286" s="101" t="n">
        <v>1.18</v>
      </c>
      <c r="O286" s="101" t="n">
        <v>11.61</v>
      </c>
      <c r="P286" s="101" t="s">
        <v>113</v>
      </c>
      <c r="Q286" s="101" t="s">
        <v>124</v>
      </c>
      <c r="R286" s="101" t="s">
        <v>113</v>
      </c>
      <c r="S286" s="101" t="n">
        <v>3</v>
      </c>
      <c r="T286" s="101" t="s">
        <v>487</v>
      </c>
      <c r="U286" s="101" t="s">
        <v>124</v>
      </c>
      <c r="V286" s="101" t="n">
        <v>176.67</v>
      </c>
    </row>
    <row r="287" customFormat="false" ht="15" hidden="false" customHeight="true" outlineLevel="0" collapsed="false">
      <c r="A287" s="101" t="s">
        <v>1582</v>
      </c>
      <c r="B287" s="101" t="s">
        <v>1583</v>
      </c>
      <c r="C287" s="101" t="s">
        <v>1584</v>
      </c>
      <c r="D287" s="101" t="s">
        <v>1585</v>
      </c>
      <c r="E287" s="101" t="s">
        <v>507</v>
      </c>
      <c r="F287" s="101" t="s">
        <v>545</v>
      </c>
      <c r="G287" s="101" t="s">
        <v>546</v>
      </c>
      <c r="H287" s="101" t="s">
        <v>484</v>
      </c>
      <c r="I287" s="101" t="s">
        <v>345</v>
      </c>
      <c r="J287" s="101" t="s">
        <v>118</v>
      </c>
      <c r="K287" s="101" t="s">
        <v>199</v>
      </c>
      <c r="L287" s="101" t="s">
        <v>1586</v>
      </c>
      <c r="M287" s="101" t="n">
        <v>37</v>
      </c>
      <c r="N287" s="101" t="n">
        <v>33.68</v>
      </c>
      <c r="O287" s="101" t="n">
        <v>66.285</v>
      </c>
      <c r="P287" s="101" t="s">
        <v>113</v>
      </c>
      <c r="Q287" s="101" t="s">
        <v>113</v>
      </c>
      <c r="R287" s="101" t="s">
        <v>124</v>
      </c>
      <c r="S287" s="101" t="n">
        <v>2</v>
      </c>
      <c r="T287" s="101" t="s">
        <v>616</v>
      </c>
      <c r="U287" s="101" t="s">
        <v>124</v>
      </c>
      <c r="V287" s="101" t="n">
        <v>1146.55</v>
      </c>
    </row>
    <row r="288" customFormat="false" ht="15" hidden="false" customHeight="true" outlineLevel="0" collapsed="false">
      <c r="A288" s="101" t="s">
        <v>1587</v>
      </c>
      <c r="B288" s="101" t="s">
        <v>1588</v>
      </c>
      <c r="C288" s="101" t="s">
        <v>1589</v>
      </c>
      <c r="D288" s="102" t="n">
        <v>45847.84375</v>
      </c>
      <c r="E288" s="101" t="s">
        <v>473</v>
      </c>
      <c r="F288" s="101" t="s">
        <v>515</v>
      </c>
      <c r="G288" s="101" t="s">
        <v>516</v>
      </c>
      <c r="H288" s="101" t="s">
        <v>517</v>
      </c>
      <c r="I288" s="101" t="s">
        <v>345</v>
      </c>
      <c r="J288" s="101" t="s">
        <v>115</v>
      </c>
      <c r="K288" s="101" t="s">
        <v>120</v>
      </c>
      <c r="L288" s="101" t="s">
        <v>1590</v>
      </c>
      <c r="M288" s="101" t="n">
        <v>217</v>
      </c>
      <c r="N288" s="101" t="n">
        <v>0.7</v>
      </c>
      <c r="O288" s="101" t="n">
        <v>4.1</v>
      </c>
      <c r="P288" s="101" t="s">
        <v>113</v>
      </c>
      <c r="Q288" s="101" t="s">
        <v>113</v>
      </c>
      <c r="R288" s="101" t="s">
        <v>124</v>
      </c>
      <c r="S288" s="101" t="s">
        <v>486</v>
      </c>
      <c r="T288" s="101" t="s">
        <v>479</v>
      </c>
      <c r="U288" s="101" t="s">
        <v>124</v>
      </c>
      <c r="V288" s="101" t="n">
        <v>62.39</v>
      </c>
    </row>
    <row r="289" customFormat="false" ht="15" hidden="false" customHeight="true" outlineLevel="0" collapsed="false">
      <c r="A289" s="101" t="s">
        <v>1591</v>
      </c>
      <c r="B289" s="101" t="s">
        <v>1592</v>
      </c>
      <c r="C289" s="101" t="s">
        <v>1593</v>
      </c>
      <c r="D289" s="101" t="s">
        <v>1594</v>
      </c>
      <c r="E289" s="101" t="s">
        <v>500</v>
      </c>
      <c r="F289" s="101" t="s">
        <v>508</v>
      </c>
      <c r="G289" s="101" t="s">
        <v>475</v>
      </c>
      <c r="H289" s="101" t="s">
        <v>484</v>
      </c>
      <c r="I289" s="101" t="s">
        <v>345</v>
      </c>
      <c r="J289" s="101" t="s">
        <v>115</v>
      </c>
      <c r="K289" s="101" t="s">
        <v>116</v>
      </c>
      <c r="L289" s="101" t="s">
        <v>594</v>
      </c>
      <c r="M289" s="101" t="n">
        <v>221</v>
      </c>
      <c r="N289" s="101" t="n">
        <v>2.61</v>
      </c>
      <c r="O289" s="101" t="n">
        <v>13.635</v>
      </c>
      <c r="P289" s="101" t="s">
        <v>113</v>
      </c>
      <c r="Q289" s="101" t="s">
        <v>113</v>
      </c>
      <c r="R289" s="101" t="s">
        <v>124</v>
      </c>
      <c r="S289" s="101"/>
      <c r="T289" s="101" t="s">
        <v>479</v>
      </c>
      <c r="U289" s="101" t="s">
        <v>124</v>
      </c>
      <c r="V289" s="101" t="n">
        <v>207.49</v>
      </c>
    </row>
    <row r="290" customFormat="false" ht="15" hidden="false" customHeight="true" outlineLevel="0" collapsed="false">
      <c r="A290" s="101" t="s">
        <v>1595</v>
      </c>
      <c r="B290" s="101" t="s">
        <v>1596</v>
      </c>
      <c r="C290" s="101" t="s">
        <v>1597</v>
      </c>
      <c r="D290" s="101" t="s">
        <v>1598</v>
      </c>
      <c r="E290" s="101" t="s">
        <v>514</v>
      </c>
      <c r="F290" s="101" t="s">
        <v>530</v>
      </c>
      <c r="G290" s="101" t="s">
        <v>516</v>
      </c>
      <c r="H290" s="101" t="s">
        <v>493</v>
      </c>
      <c r="I290" s="101" t="s">
        <v>494</v>
      </c>
      <c r="J290" s="101" t="s">
        <v>111</v>
      </c>
      <c r="K290" s="101" t="s">
        <v>112</v>
      </c>
      <c r="L290" s="101" t="s">
        <v>762</v>
      </c>
      <c r="M290" s="101" t="n">
        <v>545</v>
      </c>
      <c r="N290" s="101" t="n">
        <v>4.37</v>
      </c>
      <c r="O290" s="101" t="n">
        <v>9.52</v>
      </c>
      <c r="P290" s="101" t="s">
        <v>113</v>
      </c>
      <c r="Q290" s="101" t="s">
        <v>113</v>
      </c>
      <c r="R290" s="101" t="s">
        <v>124</v>
      </c>
      <c r="S290" s="101"/>
      <c r="T290" s="101" t="s">
        <v>496</v>
      </c>
      <c r="U290" s="101" t="s">
        <v>124</v>
      </c>
      <c r="V290" s="101" t="n">
        <v>134.26</v>
      </c>
    </row>
    <row r="291" customFormat="false" ht="15" hidden="false" customHeight="true" outlineLevel="0" collapsed="false">
      <c r="A291" s="101" t="s">
        <v>1599</v>
      </c>
      <c r="B291" s="101" t="s">
        <v>1600</v>
      </c>
      <c r="C291" s="101" t="s">
        <v>1601</v>
      </c>
      <c r="D291" s="101" t="s">
        <v>1248</v>
      </c>
      <c r="E291" s="101" t="s">
        <v>507</v>
      </c>
      <c r="F291" s="101" t="s">
        <v>508</v>
      </c>
      <c r="G291" s="101" t="s">
        <v>475</v>
      </c>
      <c r="H291" s="101" t="s">
        <v>540</v>
      </c>
      <c r="I291" s="101" t="s">
        <v>477</v>
      </c>
      <c r="J291" s="101" t="s">
        <v>118</v>
      </c>
      <c r="K291" s="101" t="s">
        <v>116</v>
      </c>
      <c r="L291" s="101" t="s">
        <v>522</v>
      </c>
      <c r="M291" s="101" t="n">
        <v>40</v>
      </c>
      <c r="N291" s="101" t="n">
        <v>13.19</v>
      </c>
      <c r="O291" s="101" t="n">
        <v>29.5</v>
      </c>
      <c r="P291" s="101" t="s">
        <v>113</v>
      </c>
      <c r="Q291" s="101" t="s">
        <v>113</v>
      </c>
      <c r="R291" s="101" t="s">
        <v>124</v>
      </c>
      <c r="S291" s="101" t="s">
        <v>486</v>
      </c>
      <c r="T291" s="101" t="s">
        <v>479</v>
      </c>
      <c r="U291" s="101" t="s">
        <v>124</v>
      </c>
      <c r="V291" s="101" t="n">
        <v>510.27</v>
      </c>
    </row>
    <row r="292" customFormat="false" ht="15" hidden="false" customHeight="true" outlineLevel="0" collapsed="false">
      <c r="A292" s="101" t="s">
        <v>1602</v>
      </c>
      <c r="B292" s="101" t="s">
        <v>1603</v>
      </c>
      <c r="C292" s="101" t="s">
        <v>1162</v>
      </c>
      <c r="D292" s="101" t="s">
        <v>1604</v>
      </c>
      <c r="E292" s="101" t="s">
        <v>507</v>
      </c>
      <c r="F292" s="101" t="s">
        <v>530</v>
      </c>
      <c r="G292" s="101" t="s">
        <v>516</v>
      </c>
      <c r="H292" s="101" t="s">
        <v>476</v>
      </c>
      <c r="I292" s="101" t="s">
        <v>477</v>
      </c>
      <c r="J292" s="101" t="s">
        <v>115</v>
      </c>
      <c r="K292" s="101" t="s">
        <v>116</v>
      </c>
      <c r="L292" s="101" t="s">
        <v>1605</v>
      </c>
      <c r="M292" s="101" t="n">
        <v>292</v>
      </c>
      <c r="N292" s="101" t="n">
        <v>4.46</v>
      </c>
      <c r="O292" s="101" t="n">
        <v>29.025</v>
      </c>
      <c r="P292" s="101" t="s">
        <v>113</v>
      </c>
      <c r="Q292" s="101" t="s">
        <v>124</v>
      </c>
      <c r="R292" s="101" t="s">
        <v>124</v>
      </c>
      <c r="S292" s="101" t="n">
        <v>3</v>
      </c>
      <c r="T292" s="101" t="s">
        <v>487</v>
      </c>
      <c r="U292" s="101" t="s">
        <v>124</v>
      </c>
      <c r="V292" s="101" t="n">
        <v>441.68</v>
      </c>
    </row>
    <row r="293" customFormat="false" ht="15" hidden="false" customHeight="true" outlineLevel="0" collapsed="false">
      <c r="A293" s="101" t="s">
        <v>1606</v>
      </c>
      <c r="B293" s="101" t="s">
        <v>1607</v>
      </c>
      <c r="C293" s="101" t="s">
        <v>748</v>
      </c>
      <c r="D293" s="101" t="s">
        <v>1066</v>
      </c>
      <c r="E293" s="101" t="s">
        <v>539</v>
      </c>
      <c r="F293" s="101" t="s">
        <v>508</v>
      </c>
      <c r="G293" s="101" t="s">
        <v>475</v>
      </c>
      <c r="H293" s="101" t="s">
        <v>476</v>
      </c>
      <c r="I293" s="101" t="s">
        <v>477</v>
      </c>
      <c r="J293" s="101" t="s">
        <v>123</v>
      </c>
      <c r="K293" s="101" t="s">
        <v>194</v>
      </c>
      <c r="L293" s="101" t="s">
        <v>1608</v>
      </c>
      <c r="M293" s="101" t="n">
        <v>23360</v>
      </c>
      <c r="N293" s="101" t="n">
        <v>4.59</v>
      </c>
      <c r="O293" s="101" t="n">
        <v>14.715</v>
      </c>
      <c r="P293" s="101" t="s">
        <v>124</v>
      </c>
      <c r="Q293" s="101" t="s">
        <v>124</v>
      </c>
      <c r="R293" s="101" t="s">
        <v>113</v>
      </c>
      <c r="S293" s="101"/>
      <c r="T293" s="101" t="s">
        <v>616</v>
      </c>
      <c r="U293" s="101" t="s">
        <v>124</v>
      </c>
      <c r="V293" s="101" t="n">
        <v>110.36</v>
      </c>
    </row>
    <row r="294" customFormat="false" ht="15" hidden="false" customHeight="true" outlineLevel="0" collapsed="false">
      <c r="A294" s="101" t="s">
        <v>1609</v>
      </c>
      <c r="B294" s="101" t="s">
        <v>1610</v>
      </c>
      <c r="C294" s="101" t="s">
        <v>633</v>
      </c>
      <c r="D294" s="101" t="s">
        <v>1611</v>
      </c>
      <c r="E294" s="101" t="s">
        <v>500</v>
      </c>
      <c r="F294" s="101" t="s">
        <v>474</v>
      </c>
      <c r="G294" s="101" t="s">
        <v>475</v>
      </c>
      <c r="H294" s="101" t="s">
        <v>673</v>
      </c>
      <c r="I294" s="101" t="s">
        <v>645</v>
      </c>
      <c r="J294" s="101" t="s">
        <v>118</v>
      </c>
      <c r="K294" s="101" t="s">
        <v>112</v>
      </c>
      <c r="L294" s="101" t="s">
        <v>914</v>
      </c>
      <c r="M294" s="101" t="n">
        <v>29</v>
      </c>
      <c r="N294" s="101" t="n">
        <v>2.67</v>
      </c>
      <c r="O294" s="101" t="n">
        <v>13.4</v>
      </c>
      <c r="P294" s="101" t="s">
        <v>113</v>
      </c>
      <c r="Q294" s="101" t="s">
        <v>113</v>
      </c>
      <c r="R294" s="101" t="s">
        <v>124</v>
      </c>
      <c r="S294" s="101" t="n">
        <v>5</v>
      </c>
      <c r="T294" s="101" t="s">
        <v>496</v>
      </c>
      <c r="U294" s="101" t="s">
        <v>124</v>
      </c>
      <c r="V294" s="101" t="n">
        <v>231.78</v>
      </c>
    </row>
    <row r="295" customFormat="false" ht="15" hidden="false" customHeight="true" outlineLevel="0" collapsed="false">
      <c r="A295" s="101" t="s">
        <v>1612</v>
      </c>
      <c r="B295" s="101" t="s">
        <v>1613</v>
      </c>
      <c r="C295" s="101" t="s">
        <v>1436</v>
      </c>
      <c r="D295" s="101" t="s">
        <v>1091</v>
      </c>
      <c r="E295" s="101" t="s">
        <v>539</v>
      </c>
      <c r="F295" s="101" t="s">
        <v>545</v>
      </c>
      <c r="G295" s="101" t="s">
        <v>546</v>
      </c>
      <c r="H295" s="101" t="s">
        <v>540</v>
      </c>
      <c r="I295" s="101" t="s">
        <v>477</v>
      </c>
      <c r="J295" s="101" t="s">
        <v>123</v>
      </c>
      <c r="K295" s="101" t="s">
        <v>194</v>
      </c>
      <c r="L295" s="101" t="s">
        <v>555</v>
      </c>
      <c r="M295" s="101" t="n">
        <v>4823</v>
      </c>
      <c r="N295" s="101" t="n">
        <v>59.77</v>
      </c>
      <c r="O295" s="101" t="n">
        <v>28.1</v>
      </c>
      <c r="P295" s="101" t="s">
        <v>113</v>
      </c>
      <c r="Q295" s="101" t="s">
        <v>113</v>
      </c>
      <c r="R295" s="101" t="s">
        <v>124</v>
      </c>
      <c r="S295" s="101" t="s">
        <v>486</v>
      </c>
      <c r="T295" s="101" t="s">
        <v>479</v>
      </c>
      <c r="U295" s="101" t="s">
        <v>124</v>
      </c>
      <c r="V295" s="101" t="n">
        <v>210.75</v>
      </c>
    </row>
    <row r="296" customFormat="false" ht="15" hidden="false" customHeight="true" outlineLevel="0" collapsed="false">
      <c r="A296" s="101" t="s">
        <v>1614</v>
      </c>
      <c r="B296" s="101" t="s">
        <v>1615</v>
      </c>
      <c r="C296" s="101" t="s">
        <v>1616</v>
      </c>
      <c r="D296" s="101" t="s">
        <v>506</v>
      </c>
      <c r="E296" s="101" t="s">
        <v>507</v>
      </c>
      <c r="F296" s="101" t="s">
        <v>492</v>
      </c>
      <c r="G296" s="101" t="s">
        <v>475</v>
      </c>
      <c r="H296" s="101" t="s">
        <v>561</v>
      </c>
      <c r="I296" s="101" t="s">
        <v>345</v>
      </c>
      <c r="J296" s="101" t="s">
        <v>123</v>
      </c>
      <c r="K296" s="101" t="s">
        <v>112</v>
      </c>
      <c r="L296" s="101" t="s">
        <v>1617</v>
      </c>
      <c r="M296" s="101" t="n">
        <v>15664</v>
      </c>
      <c r="N296" s="101" t="n">
        <v>0.24</v>
      </c>
      <c r="O296" s="101" t="n">
        <v>10.3</v>
      </c>
      <c r="P296" s="101" t="s">
        <v>124</v>
      </c>
      <c r="Q296" s="101" t="s">
        <v>124</v>
      </c>
      <c r="R296" s="101" t="s">
        <v>124</v>
      </c>
      <c r="S296" s="101" t="n">
        <v>3</v>
      </c>
      <c r="T296" s="101" t="s">
        <v>487</v>
      </c>
      <c r="U296" s="101" t="s">
        <v>124</v>
      </c>
      <c r="V296" s="101" t="n">
        <v>77.25</v>
      </c>
    </row>
    <row r="297" customFormat="false" ht="15" hidden="false" customHeight="true" outlineLevel="0" collapsed="false">
      <c r="A297" s="101" t="s">
        <v>1618</v>
      </c>
      <c r="B297" s="101" t="s">
        <v>1619</v>
      </c>
      <c r="C297" s="101" t="s">
        <v>1620</v>
      </c>
      <c r="D297" s="101" t="s">
        <v>1376</v>
      </c>
      <c r="E297" s="101" t="s">
        <v>483</v>
      </c>
      <c r="F297" s="101" t="s">
        <v>492</v>
      </c>
      <c r="G297" s="101" t="s">
        <v>475</v>
      </c>
      <c r="H297" s="101" t="s">
        <v>493</v>
      </c>
      <c r="I297" s="101" t="s">
        <v>494</v>
      </c>
      <c r="J297" s="101" t="s">
        <v>123</v>
      </c>
      <c r="K297" s="101" t="s">
        <v>116</v>
      </c>
      <c r="L297" s="101" t="s">
        <v>871</v>
      </c>
      <c r="M297" s="101" t="n">
        <v>2148</v>
      </c>
      <c r="N297" s="101" t="n">
        <v>0.56</v>
      </c>
      <c r="O297" s="101" t="n">
        <v>16.405</v>
      </c>
      <c r="P297" s="101" t="s">
        <v>113</v>
      </c>
      <c r="Q297" s="101" t="s">
        <v>113</v>
      </c>
      <c r="R297" s="101" t="s">
        <v>124</v>
      </c>
      <c r="S297" s="101"/>
      <c r="T297" s="101" t="s">
        <v>479</v>
      </c>
      <c r="U297" s="101" t="s">
        <v>124</v>
      </c>
      <c r="V297" s="101" t="n">
        <v>123.04</v>
      </c>
    </row>
    <row r="298" customFormat="false" ht="15" hidden="false" customHeight="true" outlineLevel="0" collapsed="false">
      <c r="A298" s="101" t="s">
        <v>1621</v>
      </c>
      <c r="B298" s="101" t="s">
        <v>1622</v>
      </c>
      <c r="C298" s="101" t="s">
        <v>1190</v>
      </c>
      <c r="D298" s="101" t="s">
        <v>638</v>
      </c>
      <c r="E298" s="101" t="s">
        <v>473</v>
      </c>
      <c r="F298" s="101" t="s">
        <v>545</v>
      </c>
      <c r="G298" s="101" t="s">
        <v>546</v>
      </c>
      <c r="H298" s="101" t="s">
        <v>673</v>
      </c>
      <c r="I298" s="101" t="s">
        <v>645</v>
      </c>
      <c r="J298" s="101" t="s">
        <v>123</v>
      </c>
      <c r="K298" s="101" t="s">
        <v>194</v>
      </c>
      <c r="L298" s="101" t="s">
        <v>1623</v>
      </c>
      <c r="M298" s="101" t="n">
        <v>10681</v>
      </c>
      <c r="N298" s="101" t="n">
        <v>3.9</v>
      </c>
      <c r="O298" s="101" t="n">
        <v>18.8</v>
      </c>
      <c r="P298" s="101" t="s">
        <v>113</v>
      </c>
      <c r="Q298" s="101" t="s">
        <v>124</v>
      </c>
      <c r="R298" s="101" t="s">
        <v>124</v>
      </c>
      <c r="S298" s="101" t="n">
        <v>3</v>
      </c>
      <c r="T298" s="101" t="s">
        <v>487</v>
      </c>
      <c r="U298" s="101" t="s">
        <v>124</v>
      </c>
      <c r="V298" s="101" t="n">
        <v>141</v>
      </c>
    </row>
    <row r="299" customFormat="false" ht="15" hidden="false" customHeight="true" outlineLevel="0" collapsed="false">
      <c r="A299" s="101" t="s">
        <v>1624</v>
      </c>
      <c r="B299" s="101" t="s">
        <v>1625</v>
      </c>
      <c r="C299" s="101" t="s">
        <v>1218</v>
      </c>
      <c r="D299" s="101" t="s">
        <v>1626</v>
      </c>
      <c r="E299" s="101" t="s">
        <v>473</v>
      </c>
      <c r="F299" s="101" t="s">
        <v>740</v>
      </c>
      <c r="G299" s="101" t="s">
        <v>560</v>
      </c>
      <c r="H299" s="101" t="s">
        <v>484</v>
      </c>
      <c r="I299" s="101" t="s">
        <v>345</v>
      </c>
      <c r="J299" s="101" t="s">
        <v>115</v>
      </c>
      <c r="K299" s="101" t="s">
        <v>120</v>
      </c>
      <c r="L299" s="101" t="s">
        <v>964</v>
      </c>
      <c r="M299" s="101" t="n">
        <v>113</v>
      </c>
      <c r="N299" s="101" t="n">
        <v>11.02</v>
      </c>
      <c r="O299" s="101" t="n">
        <v>17.145</v>
      </c>
      <c r="P299" s="101" t="s">
        <v>113</v>
      </c>
      <c r="Q299" s="101" t="s">
        <v>113</v>
      </c>
      <c r="R299" s="101" t="s">
        <v>124</v>
      </c>
      <c r="S299" s="101" t="n">
        <v>4</v>
      </c>
      <c r="T299" s="101" t="s">
        <v>479</v>
      </c>
      <c r="U299" s="101" t="s">
        <v>124</v>
      </c>
      <c r="V299" s="101" t="n">
        <v>260.9</v>
      </c>
    </row>
    <row r="300" customFormat="false" ht="15" hidden="false" customHeight="true" outlineLevel="0" collapsed="false">
      <c r="A300" s="101" t="s">
        <v>1627</v>
      </c>
      <c r="B300" s="101" t="s">
        <v>1628</v>
      </c>
      <c r="C300" s="101" t="s">
        <v>1629</v>
      </c>
      <c r="D300" s="101" t="s">
        <v>972</v>
      </c>
      <c r="E300" s="101" t="s">
        <v>539</v>
      </c>
      <c r="F300" s="101" t="s">
        <v>530</v>
      </c>
      <c r="G300" s="101" t="s">
        <v>516</v>
      </c>
      <c r="H300" s="101" t="s">
        <v>509</v>
      </c>
      <c r="I300" s="101" t="s">
        <v>345</v>
      </c>
      <c r="J300" s="101" t="s">
        <v>111</v>
      </c>
      <c r="K300" s="101" t="s">
        <v>112</v>
      </c>
      <c r="L300" s="101" t="s">
        <v>745</v>
      </c>
      <c r="M300" s="101" t="n">
        <v>317</v>
      </c>
      <c r="N300" s="101" t="n">
        <v>1.61</v>
      </c>
      <c r="O300" s="101" t="n">
        <v>5.9</v>
      </c>
      <c r="P300" s="101" t="s">
        <v>113</v>
      </c>
      <c r="Q300" s="101" t="s">
        <v>113</v>
      </c>
      <c r="R300" s="101" t="s">
        <v>124</v>
      </c>
      <c r="S300" s="101"/>
      <c r="T300" s="101" t="s">
        <v>479</v>
      </c>
      <c r="U300" s="101" t="s">
        <v>124</v>
      </c>
      <c r="V300" s="101" t="n">
        <v>83.21</v>
      </c>
    </row>
    <row r="301" customFormat="false" ht="15" hidden="false" customHeight="true" outlineLevel="0" collapsed="false">
      <c r="A301" s="101" t="s">
        <v>1630</v>
      </c>
      <c r="B301" s="101" t="s">
        <v>1631</v>
      </c>
      <c r="C301" s="101" t="s">
        <v>588</v>
      </c>
      <c r="D301" s="101" t="s">
        <v>1632</v>
      </c>
      <c r="E301" s="101" t="s">
        <v>500</v>
      </c>
      <c r="F301" s="101" t="s">
        <v>530</v>
      </c>
      <c r="G301" s="101" t="s">
        <v>516</v>
      </c>
      <c r="H301" s="101" t="s">
        <v>484</v>
      </c>
      <c r="I301" s="101" t="s">
        <v>345</v>
      </c>
      <c r="J301" s="101" t="s">
        <v>123</v>
      </c>
      <c r="K301" s="101" t="s">
        <v>120</v>
      </c>
      <c r="L301" s="101" t="s">
        <v>1633</v>
      </c>
      <c r="M301" s="101" t="n">
        <v>2482</v>
      </c>
      <c r="N301" s="101" t="n">
        <v>9.18</v>
      </c>
      <c r="O301" s="101" t="n">
        <v>22.14</v>
      </c>
      <c r="P301" s="101" t="s">
        <v>113</v>
      </c>
      <c r="Q301" s="101" t="s">
        <v>124</v>
      </c>
      <c r="R301" s="101" t="s">
        <v>113</v>
      </c>
      <c r="S301" s="101" t="n">
        <v>3</v>
      </c>
      <c r="T301" s="101" t="s">
        <v>487</v>
      </c>
      <c r="U301" s="101" t="s">
        <v>124</v>
      </c>
      <c r="V301" s="101" t="n">
        <v>166.05</v>
      </c>
    </row>
    <row r="302" customFormat="false" ht="15" hidden="false" customHeight="true" outlineLevel="0" collapsed="false">
      <c r="A302" s="101" t="s">
        <v>1634</v>
      </c>
      <c r="B302" s="101" t="s">
        <v>1635</v>
      </c>
      <c r="C302" s="101" t="s">
        <v>580</v>
      </c>
      <c r="D302" s="101" t="s">
        <v>1636</v>
      </c>
      <c r="E302" s="101" t="s">
        <v>539</v>
      </c>
      <c r="F302" s="101" t="s">
        <v>492</v>
      </c>
      <c r="G302" s="101" t="s">
        <v>475</v>
      </c>
      <c r="H302" s="101" t="s">
        <v>673</v>
      </c>
      <c r="I302" s="101" t="s">
        <v>645</v>
      </c>
      <c r="J302" s="101" t="s">
        <v>123</v>
      </c>
      <c r="K302" s="101" t="s">
        <v>199</v>
      </c>
      <c r="L302" s="101" t="s">
        <v>1637</v>
      </c>
      <c r="M302" s="101" t="n">
        <v>6440</v>
      </c>
      <c r="N302" s="101" t="n">
        <v>5.37</v>
      </c>
      <c r="O302" s="101" t="n">
        <v>35.1</v>
      </c>
      <c r="P302" s="101" t="s">
        <v>113</v>
      </c>
      <c r="Q302" s="101" t="s">
        <v>113</v>
      </c>
      <c r="R302" s="101" t="s">
        <v>124</v>
      </c>
      <c r="S302" s="101"/>
      <c r="T302" s="101" t="s">
        <v>496</v>
      </c>
      <c r="U302" s="101" t="s">
        <v>124</v>
      </c>
      <c r="V302" s="101" t="n">
        <v>263.25</v>
      </c>
    </row>
    <row r="303" customFormat="false" ht="15" hidden="false" customHeight="true" outlineLevel="0" collapsed="false">
      <c r="A303" s="101" t="s">
        <v>1638</v>
      </c>
      <c r="B303" s="101" t="s">
        <v>1639</v>
      </c>
      <c r="C303" s="101" t="s">
        <v>1640</v>
      </c>
      <c r="D303" s="101" t="s">
        <v>862</v>
      </c>
      <c r="E303" s="101" t="s">
        <v>491</v>
      </c>
      <c r="F303" s="101" t="s">
        <v>545</v>
      </c>
      <c r="G303" s="101" t="s">
        <v>546</v>
      </c>
      <c r="H303" s="101" t="s">
        <v>517</v>
      </c>
      <c r="I303" s="101" t="s">
        <v>345</v>
      </c>
      <c r="J303" s="101" t="s">
        <v>133</v>
      </c>
      <c r="K303" s="101"/>
      <c r="L303" s="101" t="s">
        <v>547</v>
      </c>
      <c r="M303" s="101" t="n">
        <v>8</v>
      </c>
      <c r="N303" s="101" t="n">
        <v>2.9</v>
      </c>
      <c r="O303" s="101" t="n">
        <v>2.7</v>
      </c>
      <c r="P303" s="101" t="s">
        <v>113</v>
      </c>
      <c r="Q303" s="101" t="s">
        <v>113</v>
      </c>
      <c r="R303" s="101" t="s">
        <v>124</v>
      </c>
      <c r="S303" s="101" t="s">
        <v>486</v>
      </c>
      <c r="T303" s="101" t="s">
        <v>479</v>
      </c>
      <c r="U303" s="101" t="s">
        <v>124</v>
      </c>
      <c r="V303" s="101" t="n">
        <v>12.96</v>
      </c>
    </row>
    <row r="304" customFormat="false" ht="15" hidden="false" customHeight="true" outlineLevel="0" collapsed="false">
      <c r="A304" s="101" t="s">
        <v>1641</v>
      </c>
      <c r="B304" s="101" t="s">
        <v>1642</v>
      </c>
      <c r="C304" s="101" t="s">
        <v>1643</v>
      </c>
      <c r="D304" s="101" t="s">
        <v>1644</v>
      </c>
      <c r="E304" s="101" t="s">
        <v>514</v>
      </c>
      <c r="F304" s="101" t="s">
        <v>474</v>
      </c>
      <c r="G304" s="101" t="s">
        <v>475</v>
      </c>
      <c r="H304" s="101" t="s">
        <v>517</v>
      </c>
      <c r="I304" s="101" t="s">
        <v>345</v>
      </c>
      <c r="J304" s="101" t="s">
        <v>118</v>
      </c>
      <c r="K304" s="101" t="s">
        <v>199</v>
      </c>
      <c r="L304" s="101" t="s">
        <v>1645</v>
      </c>
      <c r="M304" s="101" t="n">
        <v>117</v>
      </c>
      <c r="N304" s="101" t="n">
        <v>3.21</v>
      </c>
      <c r="O304" s="101" t="n">
        <v>34.3</v>
      </c>
      <c r="P304" s="101" t="s">
        <v>113</v>
      </c>
      <c r="Q304" s="101" t="s">
        <v>113</v>
      </c>
      <c r="R304" s="101" t="s">
        <v>124</v>
      </c>
      <c r="S304" s="101" t="n">
        <v>4</v>
      </c>
      <c r="T304" s="101" t="s">
        <v>479</v>
      </c>
      <c r="U304" s="101" t="s">
        <v>124</v>
      </c>
      <c r="V304" s="101" t="n">
        <v>593.3</v>
      </c>
    </row>
    <row r="305" customFormat="false" ht="15" hidden="false" customHeight="true" outlineLevel="0" collapsed="false">
      <c r="A305" s="101" t="s">
        <v>1646</v>
      </c>
      <c r="B305" s="101" t="s">
        <v>1647</v>
      </c>
      <c r="C305" s="101" t="s">
        <v>1244</v>
      </c>
      <c r="D305" s="101" t="s">
        <v>708</v>
      </c>
      <c r="E305" s="101" t="s">
        <v>500</v>
      </c>
      <c r="F305" s="101" t="s">
        <v>474</v>
      </c>
      <c r="G305" s="101" t="s">
        <v>475</v>
      </c>
      <c r="H305" s="101" t="s">
        <v>727</v>
      </c>
      <c r="I305" s="101" t="s">
        <v>645</v>
      </c>
      <c r="J305" s="101" t="s">
        <v>115</v>
      </c>
      <c r="K305" s="101" t="s">
        <v>112</v>
      </c>
      <c r="L305" s="101" t="s">
        <v>639</v>
      </c>
      <c r="M305" s="101" t="n">
        <v>270</v>
      </c>
      <c r="N305" s="101" t="n">
        <v>5.24</v>
      </c>
      <c r="O305" s="101" t="n">
        <v>12.6</v>
      </c>
      <c r="P305" s="101" t="s">
        <v>113</v>
      </c>
      <c r="Q305" s="101" t="s">
        <v>113</v>
      </c>
      <c r="R305" s="101" t="s">
        <v>124</v>
      </c>
      <c r="S305" s="101" t="n">
        <v>3</v>
      </c>
      <c r="T305" s="101" t="s">
        <v>487</v>
      </c>
      <c r="U305" s="101" t="s">
        <v>124</v>
      </c>
      <c r="V305" s="101" t="n">
        <v>191.74</v>
      </c>
    </row>
    <row r="306" customFormat="false" ht="15" hidden="false" customHeight="true" outlineLevel="0" collapsed="false">
      <c r="A306" s="101" t="s">
        <v>1648</v>
      </c>
      <c r="B306" s="101" t="s">
        <v>1649</v>
      </c>
      <c r="C306" s="101" t="s">
        <v>1408</v>
      </c>
      <c r="D306" s="101" t="s">
        <v>1650</v>
      </c>
      <c r="E306" s="101" t="s">
        <v>483</v>
      </c>
      <c r="F306" s="101" t="s">
        <v>508</v>
      </c>
      <c r="G306" s="101" t="s">
        <v>475</v>
      </c>
      <c r="H306" s="101" t="s">
        <v>561</v>
      </c>
      <c r="I306" s="101" t="s">
        <v>345</v>
      </c>
      <c r="J306" s="101" t="s">
        <v>118</v>
      </c>
      <c r="K306" s="101" t="s">
        <v>116</v>
      </c>
      <c r="L306" s="101" t="s">
        <v>1275</v>
      </c>
      <c r="M306" s="101" t="n">
        <v>88</v>
      </c>
      <c r="N306" s="101" t="n">
        <v>2.19</v>
      </c>
      <c r="O306" s="101" t="n">
        <v>40.5</v>
      </c>
      <c r="P306" s="101" t="s">
        <v>113</v>
      </c>
      <c r="Q306" s="101" t="s">
        <v>124</v>
      </c>
      <c r="R306" s="101" t="s">
        <v>113</v>
      </c>
      <c r="S306" s="101" t="n">
        <v>4</v>
      </c>
      <c r="T306" s="101" t="s">
        <v>479</v>
      </c>
      <c r="U306" s="101" t="s">
        <v>124</v>
      </c>
      <c r="V306" s="101" t="n">
        <v>700.54</v>
      </c>
    </row>
    <row r="307" customFormat="false" ht="15" hidden="false" customHeight="true" outlineLevel="0" collapsed="false">
      <c r="A307" s="101" t="s">
        <v>1651</v>
      </c>
      <c r="B307" s="101" t="s">
        <v>1652</v>
      </c>
      <c r="C307" s="101" t="s">
        <v>1653</v>
      </c>
      <c r="D307" s="101" t="s">
        <v>1654</v>
      </c>
      <c r="E307" s="101" t="s">
        <v>491</v>
      </c>
      <c r="F307" s="101" t="s">
        <v>474</v>
      </c>
      <c r="G307" s="101" t="s">
        <v>475</v>
      </c>
      <c r="H307" s="101" t="s">
        <v>673</v>
      </c>
      <c r="I307" s="101" t="s">
        <v>645</v>
      </c>
      <c r="J307" s="101" t="s">
        <v>111</v>
      </c>
      <c r="K307" s="101" t="s">
        <v>116</v>
      </c>
      <c r="L307" s="101" t="s">
        <v>1275</v>
      </c>
      <c r="M307" s="101" t="n">
        <v>406</v>
      </c>
      <c r="N307" s="101" t="n">
        <v>10.23</v>
      </c>
      <c r="O307" s="101" t="n">
        <v>4.4</v>
      </c>
      <c r="P307" s="101" t="s">
        <v>113</v>
      </c>
      <c r="Q307" s="101" t="s">
        <v>113</v>
      </c>
      <c r="R307" s="101" t="s">
        <v>124</v>
      </c>
      <c r="S307" s="101" t="n">
        <v>5</v>
      </c>
      <c r="T307" s="101" t="s">
        <v>496</v>
      </c>
      <c r="U307" s="101" t="s">
        <v>124</v>
      </c>
      <c r="V307" s="101" t="n">
        <v>62.05</v>
      </c>
    </row>
    <row r="308" customFormat="false" ht="15" hidden="false" customHeight="true" outlineLevel="0" collapsed="false">
      <c r="A308" s="101" t="s">
        <v>1655</v>
      </c>
      <c r="B308" s="101" t="s">
        <v>1656</v>
      </c>
      <c r="C308" s="101" t="s">
        <v>1657</v>
      </c>
      <c r="D308" s="101" t="s">
        <v>1658</v>
      </c>
      <c r="E308" s="101" t="s">
        <v>483</v>
      </c>
      <c r="F308" s="101" t="s">
        <v>474</v>
      </c>
      <c r="G308" s="101" t="s">
        <v>475</v>
      </c>
      <c r="H308" s="101" t="s">
        <v>727</v>
      </c>
      <c r="I308" s="101" t="s">
        <v>645</v>
      </c>
      <c r="J308" s="101" t="s">
        <v>118</v>
      </c>
      <c r="K308" s="101" t="s">
        <v>116</v>
      </c>
      <c r="L308" s="101" t="s">
        <v>1499</v>
      </c>
      <c r="M308" s="101" t="n">
        <v>110</v>
      </c>
      <c r="N308" s="101" t="n">
        <v>2.85</v>
      </c>
      <c r="O308" s="101" t="n">
        <v>16.6</v>
      </c>
      <c r="P308" s="101" t="s">
        <v>113</v>
      </c>
      <c r="Q308" s="101" t="s">
        <v>113</v>
      </c>
      <c r="R308" s="101" t="s">
        <v>124</v>
      </c>
      <c r="S308" s="101" t="n">
        <v>4</v>
      </c>
      <c r="T308" s="101" t="s">
        <v>479</v>
      </c>
      <c r="U308" s="101" t="s">
        <v>124</v>
      </c>
      <c r="V308" s="101" t="n">
        <v>287.14</v>
      </c>
    </row>
    <row r="309" customFormat="false" ht="15" hidden="false" customHeight="true" outlineLevel="0" collapsed="false">
      <c r="A309" s="101" t="s">
        <v>1659</v>
      </c>
      <c r="B309" s="101" t="s">
        <v>1660</v>
      </c>
      <c r="C309" s="101" t="s">
        <v>1661</v>
      </c>
      <c r="D309" s="101" t="s">
        <v>1662</v>
      </c>
      <c r="E309" s="101" t="s">
        <v>500</v>
      </c>
      <c r="F309" s="101" t="s">
        <v>474</v>
      </c>
      <c r="G309" s="101" t="s">
        <v>475</v>
      </c>
      <c r="H309" s="101" t="s">
        <v>509</v>
      </c>
      <c r="I309" s="101" t="s">
        <v>345</v>
      </c>
      <c r="J309" s="101" t="s">
        <v>123</v>
      </c>
      <c r="K309" s="101" t="s">
        <v>120</v>
      </c>
      <c r="L309" s="101" t="s">
        <v>1183</v>
      </c>
      <c r="M309" s="101" t="n">
        <v>24355</v>
      </c>
      <c r="N309" s="101" t="n">
        <v>5.5</v>
      </c>
      <c r="O309" s="101" t="n">
        <v>29</v>
      </c>
      <c r="P309" s="101" t="s">
        <v>124</v>
      </c>
      <c r="Q309" s="101" t="s">
        <v>113</v>
      </c>
      <c r="R309" s="101" t="s">
        <v>124</v>
      </c>
      <c r="S309" s="101" t="n">
        <v>4</v>
      </c>
      <c r="T309" s="101" t="s">
        <v>479</v>
      </c>
      <c r="U309" s="101" t="s">
        <v>124</v>
      </c>
      <c r="V309" s="101" t="n">
        <v>217.5</v>
      </c>
    </row>
    <row r="310" customFormat="false" ht="15" hidden="false" customHeight="true" outlineLevel="0" collapsed="false">
      <c r="A310" s="101" t="s">
        <v>1663</v>
      </c>
      <c r="B310" s="101" t="s">
        <v>1664</v>
      </c>
      <c r="C310" s="101" t="s">
        <v>667</v>
      </c>
      <c r="D310" s="101" t="s">
        <v>1665</v>
      </c>
      <c r="E310" s="101" t="s">
        <v>473</v>
      </c>
      <c r="F310" s="101" t="s">
        <v>559</v>
      </c>
      <c r="G310" s="101" t="s">
        <v>560</v>
      </c>
      <c r="H310" s="101" t="s">
        <v>517</v>
      </c>
      <c r="I310" s="101" t="s">
        <v>345</v>
      </c>
      <c r="J310" s="101" t="s">
        <v>123</v>
      </c>
      <c r="K310" s="101" t="s">
        <v>120</v>
      </c>
      <c r="L310" s="101" t="s">
        <v>851</v>
      </c>
      <c r="M310" s="101" t="n">
        <v>22053</v>
      </c>
      <c r="N310" s="101" t="n">
        <v>0.17</v>
      </c>
      <c r="O310" s="101" t="n">
        <v>29.7</v>
      </c>
      <c r="P310" s="101" t="s">
        <v>124</v>
      </c>
      <c r="Q310" s="101" t="s">
        <v>124</v>
      </c>
      <c r="R310" s="101" t="s">
        <v>113</v>
      </c>
      <c r="S310" s="101" t="n">
        <v>3</v>
      </c>
      <c r="T310" s="101" t="s">
        <v>487</v>
      </c>
      <c r="U310" s="101" t="s">
        <v>124</v>
      </c>
      <c r="V310" s="101" t="n">
        <v>222.75</v>
      </c>
    </row>
    <row r="311" customFormat="false" ht="15" hidden="false" customHeight="true" outlineLevel="0" collapsed="false">
      <c r="A311" s="101" t="s">
        <v>1666</v>
      </c>
      <c r="B311" s="101" t="s">
        <v>1667</v>
      </c>
      <c r="C311" s="101" t="s">
        <v>1668</v>
      </c>
      <c r="D311" s="101" t="s">
        <v>1669</v>
      </c>
      <c r="E311" s="101" t="s">
        <v>500</v>
      </c>
      <c r="F311" s="101" t="s">
        <v>530</v>
      </c>
      <c r="G311" s="101" t="s">
        <v>516</v>
      </c>
      <c r="H311" s="101" t="s">
        <v>509</v>
      </c>
      <c r="I311" s="101" t="s">
        <v>345</v>
      </c>
      <c r="J311" s="101" t="s">
        <v>115</v>
      </c>
      <c r="K311" s="101" t="s">
        <v>112</v>
      </c>
      <c r="L311" s="101" t="s">
        <v>757</v>
      </c>
      <c r="M311" s="101" t="n">
        <v>166</v>
      </c>
      <c r="N311" s="101" t="n">
        <v>0.58</v>
      </c>
      <c r="O311" s="101" t="n">
        <v>19.3</v>
      </c>
      <c r="P311" s="101" t="s">
        <v>113</v>
      </c>
      <c r="Q311" s="101" t="s">
        <v>124</v>
      </c>
      <c r="R311" s="101" t="s">
        <v>113</v>
      </c>
      <c r="S311" s="101" t="s">
        <v>486</v>
      </c>
      <c r="T311" s="101" t="s">
        <v>487</v>
      </c>
      <c r="U311" s="101" t="s">
        <v>124</v>
      </c>
      <c r="V311" s="101" t="n">
        <v>293.7</v>
      </c>
    </row>
    <row r="312" customFormat="false" ht="15" hidden="false" customHeight="true" outlineLevel="0" collapsed="false">
      <c r="A312" s="101" t="s">
        <v>1670</v>
      </c>
      <c r="B312" s="101" t="s">
        <v>1671</v>
      </c>
      <c r="C312" s="101" t="s">
        <v>1672</v>
      </c>
      <c r="D312" s="101" t="s">
        <v>930</v>
      </c>
      <c r="E312" s="101" t="s">
        <v>514</v>
      </c>
      <c r="F312" s="101" t="s">
        <v>530</v>
      </c>
      <c r="G312" s="101" t="s">
        <v>516</v>
      </c>
      <c r="H312" s="101" t="s">
        <v>592</v>
      </c>
      <c r="I312" s="101" t="s">
        <v>593</v>
      </c>
      <c r="J312" s="101" t="s">
        <v>123</v>
      </c>
      <c r="K312" s="101" t="s">
        <v>120</v>
      </c>
      <c r="L312" s="101" t="s">
        <v>1237</v>
      </c>
      <c r="M312" s="101" t="n">
        <v>20096</v>
      </c>
      <c r="N312" s="101" t="n">
        <v>1.02</v>
      </c>
      <c r="O312" s="101" t="n">
        <v>23.5</v>
      </c>
      <c r="P312" s="101" t="s">
        <v>124</v>
      </c>
      <c r="Q312" s="101" t="s">
        <v>124</v>
      </c>
      <c r="R312" s="101" t="s">
        <v>124</v>
      </c>
      <c r="S312" s="101" t="s">
        <v>486</v>
      </c>
      <c r="T312" s="101" t="s">
        <v>616</v>
      </c>
      <c r="U312" s="101" t="s">
        <v>124</v>
      </c>
      <c r="V312" s="101" t="n">
        <v>176.25</v>
      </c>
    </row>
    <row r="313" customFormat="false" ht="15" hidden="false" customHeight="true" outlineLevel="0" collapsed="false">
      <c r="A313" s="101" t="s">
        <v>1673</v>
      </c>
      <c r="B313" s="101" t="s">
        <v>1674</v>
      </c>
      <c r="C313" s="101" t="s">
        <v>1675</v>
      </c>
      <c r="D313" s="101" t="s">
        <v>1676</v>
      </c>
      <c r="E313" s="101" t="s">
        <v>473</v>
      </c>
      <c r="F313" s="101" t="s">
        <v>474</v>
      </c>
      <c r="G313" s="101" t="s">
        <v>475</v>
      </c>
      <c r="H313" s="101" t="s">
        <v>484</v>
      </c>
      <c r="I313" s="101" t="s">
        <v>345</v>
      </c>
      <c r="J313" s="101" t="s">
        <v>133</v>
      </c>
      <c r="K313" s="101"/>
      <c r="L313" s="101" t="s">
        <v>547</v>
      </c>
      <c r="M313" s="101" t="n">
        <v>20</v>
      </c>
      <c r="N313" s="101" t="n">
        <v>24.48</v>
      </c>
      <c r="O313" s="101" t="n">
        <v>4.185</v>
      </c>
      <c r="P313" s="101" t="s">
        <v>113</v>
      </c>
      <c r="Q313" s="101" t="s">
        <v>113</v>
      </c>
      <c r="R313" s="101" t="s">
        <v>124</v>
      </c>
      <c r="S313" s="101" t="n">
        <v>4</v>
      </c>
      <c r="T313" s="101" t="s">
        <v>479</v>
      </c>
      <c r="U313" s="101" t="s">
        <v>124</v>
      </c>
      <c r="V313" s="101" t="n">
        <v>20.09</v>
      </c>
    </row>
    <row r="314" customFormat="false" ht="15" hidden="false" customHeight="true" outlineLevel="0" collapsed="false">
      <c r="A314" s="101" t="s">
        <v>1677</v>
      </c>
      <c r="B314" s="101" t="s">
        <v>1678</v>
      </c>
      <c r="C314" s="101" t="s">
        <v>1679</v>
      </c>
      <c r="D314" s="101" t="s">
        <v>1680</v>
      </c>
      <c r="E314" s="101" t="s">
        <v>539</v>
      </c>
      <c r="F314" s="101" t="s">
        <v>515</v>
      </c>
      <c r="G314" s="101" t="s">
        <v>516</v>
      </c>
      <c r="H314" s="101" t="s">
        <v>540</v>
      </c>
      <c r="I314" s="101" t="s">
        <v>477</v>
      </c>
      <c r="J314" s="101" t="s">
        <v>118</v>
      </c>
      <c r="K314" s="101" t="s">
        <v>120</v>
      </c>
      <c r="L314" s="101" t="s">
        <v>571</v>
      </c>
      <c r="M314" s="101" t="n">
        <v>75</v>
      </c>
      <c r="N314" s="101" t="n">
        <v>7.65</v>
      </c>
      <c r="O314" s="101" t="n">
        <v>16.1</v>
      </c>
      <c r="P314" s="101" t="s">
        <v>113</v>
      </c>
      <c r="Q314" s="101" t="s">
        <v>113</v>
      </c>
      <c r="R314" s="101" t="s">
        <v>124</v>
      </c>
      <c r="S314" s="101" t="n">
        <v>5</v>
      </c>
      <c r="T314" s="101" t="s">
        <v>496</v>
      </c>
      <c r="U314" s="101" t="s">
        <v>124</v>
      </c>
      <c r="V314" s="101" t="n">
        <v>278.49</v>
      </c>
    </row>
    <row r="315" customFormat="false" ht="15" hidden="false" customHeight="true" outlineLevel="0" collapsed="false">
      <c r="A315" s="101" t="s">
        <v>1681</v>
      </c>
      <c r="B315" s="101" t="s">
        <v>1682</v>
      </c>
      <c r="C315" s="101" t="s">
        <v>1186</v>
      </c>
      <c r="D315" s="101" t="s">
        <v>1683</v>
      </c>
      <c r="E315" s="101" t="s">
        <v>507</v>
      </c>
      <c r="F315" s="101" t="s">
        <v>508</v>
      </c>
      <c r="G315" s="101" t="s">
        <v>475</v>
      </c>
      <c r="H315" s="101" t="s">
        <v>673</v>
      </c>
      <c r="I315" s="101" t="s">
        <v>645</v>
      </c>
      <c r="J315" s="101" t="s">
        <v>118</v>
      </c>
      <c r="K315" s="101" t="s">
        <v>120</v>
      </c>
      <c r="L315" s="101" t="s">
        <v>964</v>
      </c>
      <c r="M315" s="101" t="n">
        <v>101</v>
      </c>
      <c r="N315" s="101" t="n">
        <v>5.06</v>
      </c>
      <c r="O315" s="101" t="n">
        <v>9.5</v>
      </c>
      <c r="P315" s="101" t="s">
        <v>113</v>
      </c>
      <c r="Q315" s="101" t="s">
        <v>113</v>
      </c>
      <c r="R315" s="101" t="s">
        <v>124</v>
      </c>
      <c r="S315" s="101" t="n">
        <v>4</v>
      </c>
      <c r="T315" s="101" t="s">
        <v>479</v>
      </c>
      <c r="U315" s="101" t="s">
        <v>124</v>
      </c>
      <c r="V315" s="101" t="n">
        <v>164.32</v>
      </c>
    </row>
    <row r="316" customFormat="false" ht="15" hidden="false" customHeight="true" outlineLevel="0" collapsed="false">
      <c r="A316" s="101" t="s">
        <v>1684</v>
      </c>
      <c r="B316" s="101" t="s">
        <v>1685</v>
      </c>
      <c r="C316" s="101" t="s">
        <v>893</v>
      </c>
      <c r="D316" s="101" t="s">
        <v>1686</v>
      </c>
      <c r="E316" s="101" t="s">
        <v>491</v>
      </c>
      <c r="F316" s="101" t="s">
        <v>508</v>
      </c>
      <c r="G316" s="101" t="s">
        <v>475</v>
      </c>
      <c r="H316" s="101" t="s">
        <v>493</v>
      </c>
      <c r="I316" s="101" t="s">
        <v>494</v>
      </c>
      <c r="J316" s="101" t="s">
        <v>115</v>
      </c>
      <c r="K316" s="101" t="s">
        <v>199</v>
      </c>
      <c r="L316" s="101" t="s">
        <v>846</v>
      </c>
      <c r="M316" s="101" t="n">
        <v>133</v>
      </c>
      <c r="N316" s="101" t="n">
        <v>2.5</v>
      </c>
      <c r="O316" s="101" t="n">
        <v>10.2</v>
      </c>
      <c r="P316" s="101" t="s">
        <v>113</v>
      </c>
      <c r="Q316" s="101" t="s">
        <v>113</v>
      </c>
      <c r="R316" s="101" t="s">
        <v>124</v>
      </c>
      <c r="S316" s="101" t="n">
        <v>5</v>
      </c>
      <c r="T316" s="101" t="s">
        <v>496</v>
      </c>
      <c r="U316" s="101" t="s">
        <v>124</v>
      </c>
      <c r="V316" s="101" t="n">
        <v>155.22</v>
      </c>
    </row>
    <row r="317" customFormat="false" ht="15" hidden="false" customHeight="true" outlineLevel="0" collapsed="false">
      <c r="A317" s="101" t="s">
        <v>1687</v>
      </c>
      <c r="B317" s="101" t="s">
        <v>1688</v>
      </c>
      <c r="C317" s="101" t="s">
        <v>1689</v>
      </c>
      <c r="D317" s="101" t="s">
        <v>1147</v>
      </c>
      <c r="E317" s="101" t="s">
        <v>473</v>
      </c>
      <c r="F317" s="101" t="s">
        <v>559</v>
      </c>
      <c r="G317" s="101" t="s">
        <v>560</v>
      </c>
      <c r="H317" s="101" t="s">
        <v>509</v>
      </c>
      <c r="I317" s="101" t="s">
        <v>345</v>
      </c>
      <c r="J317" s="101" t="s">
        <v>118</v>
      </c>
      <c r="K317" s="101" t="s">
        <v>120</v>
      </c>
      <c r="L317" s="101" t="s">
        <v>1590</v>
      </c>
      <c r="M317" s="101" t="n">
        <v>108</v>
      </c>
      <c r="N317" s="101" t="n">
        <v>1.43</v>
      </c>
      <c r="O317" s="101" t="n">
        <v>14.8</v>
      </c>
      <c r="P317" s="101" t="s">
        <v>113</v>
      </c>
      <c r="Q317" s="101" t="s">
        <v>113</v>
      </c>
      <c r="R317" s="101" t="s">
        <v>124</v>
      </c>
      <c r="S317" s="101"/>
      <c r="T317" s="101" t="s">
        <v>496</v>
      </c>
      <c r="U317" s="101" t="s">
        <v>124</v>
      </c>
      <c r="V317" s="101" t="n">
        <v>256</v>
      </c>
    </row>
    <row r="318" customFormat="false" ht="15" hidden="false" customHeight="true" outlineLevel="0" collapsed="false">
      <c r="A318" s="101" t="s">
        <v>1690</v>
      </c>
      <c r="B318" s="101" t="s">
        <v>1691</v>
      </c>
      <c r="C318" s="101" t="s">
        <v>1692</v>
      </c>
      <c r="D318" s="101" t="s">
        <v>1074</v>
      </c>
      <c r="E318" s="101" t="s">
        <v>514</v>
      </c>
      <c r="F318" s="101" t="s">
        <v>474</v>
      </c>
      <c r="G318" s="101" t="s">
        <v>475</v>
      </c>
      <c r="H318" s="101" t="s">
        <v>673</v>
      </c>
      <c r="I318" s="101" t="s">
        <v>645</v>
      </c>
      <c r="J318" s="101" t="s">
        <v>115</v>
      </c>
      <c r="K318" s="101" t="s">
        <v>120</v>
      </c>
      <c r="L318" s="101" t="s">
        <v>1633</v>
      </c>
      <c r="M318" s="101" t="n">
        <v>216</v>
      </c>
      <c r="N318" s="101" t="n">
        <v>1.32</v>
      </c>
      <c r="O318" s="101" t="n">
        <v>8.9</v>
      </c>
      <c r="P318" s="101" t="s">
        <v>113</v>
      </c>
      <c r="Q318" s="101" t="s">
        <v>113</v>
      </c>
      <c r="R318" s="101" t="s">
        <v>124</v>
      </c>
      <c r="S318" s="101" t="n">
        <v>5</v>
      </c>
      <c r="T318" s="101" t="s">
        <v>496</v>
      </c>
      <c r="U318" s="101" t="s">
        <v>124</v>
      </c>
      <c r="V318" s="101" t="n">
        <v>135.43</v>
      </c>
    </row>
    <row r="319" customFormat="false" ht="15" hidden="false" customHeight="true" outlineLevel="0" collapsed="false">
      <c r="A319" s="101" t="s">
        <v>1693</v>
      </c>
      <c r="B319" s="101" t="s">
        <v>1694</v>
      </c>
      <c r="C319" s="101" t="s">
        <v>1695</v>
      </c>
      <c r="D319" s="101" t="s">
        <v>1102</v>
      </c>
      <c r="E319" s="101" t="s">
        <v>473</v>
      </c>
      <c r="F319" s="101" t="s">
        <v>501</v>
      </c>
      <c r="G319" s="101" t="s">
        <v>502</v>
      </c>
      <c r="H319" s="101" t="s">
        <v>476</v>
      </c>
      <c r="I319" s="101" t="s">
        <v>477</v>
      </c>
      <c r="J319" s="101" t="s">
        <v>118</v>
      </c>
      <c r="K319" s="101" t="s">
        <v>194</v>
      </c>
      <c r="L319" s="101" t="s">
        <v>1130</v>
      </c>
      <c r="M319" s="101" t="n">
        <v>71</v>
      </c>
      <c r="N319" s="101" t="n">
        <v>7.54</v>
      </c>
      <c r="O319" s="101" t="n">
        <v>16.605</v>
      </c>
      <c r="P319" s="101" t="s">
        <v>113</v>
      </c>
      <c r="Q319" s="101" t="s">
        <v>124</v>
      </c>
      <c r="R319" s="101" t="s">
        <v>113</v>
      </c>
      <c r="S319" s="101" t="s">
        <v>486</v>
      </c>
      <c r="T319" s="101" t="s">
        <v>487</v>
      </c>
      <c r="U319" s="101" t="s">
        <v>124</v>
      </c>
      <c r="V319" s="101" t="n">
        <v>287.22</v>
      </c>
    </row>
    <row r="320" customFormat="false" ht="15" hidden="false" customHeight="true" outlineLevel="0" collapsed="false">
      <c r="A320" s="101" t="s">
        <v>1696</v>
      </c>
      <c r="B320" s="101" t="s">
        <v>1697</v>
      </c>
      <c r="C320" s="101" t="s">
        <v>1698</v>
      </c>
      <c r="D320" s="101" t="s">
        <v>862</v>
      </c>
      <c r="E320" s="101" t="s">
        <v>491</v>
      </c>
      <c r="F320" s="101" t="s">
        <v>508</v>
      </c>
      <c r="G320" s="101" t="s">
        <v>475</v>
      </c>
      <c r="H320" s="101" t="s">
        <v>484</v>
      </c>
      <c r="I320" s="101" t="s">
        <v>345</v>
      </c>
      <c r="J320" s="101" t="s">
        <v>115</v>
      </c>
      <c r="K320" s="101" t="s">
        <v>116</v>
      </c>
      <c r="L320" s="101" t="s">
        <v>598</v>
      </c>
      <c r="M320" s="101" t="n">
        <v>180</v>
      </c>
      <c r="N320" s="101" t="n">
        <v>129.33</v>
      </c>
      <c r="O320" s="101" t="n">
        <v>15.39</v>
      </c>
      <c r="P320" s="101" t="s">
        <v>113</v>
      </c>
      <c r="Q320" s="101" t="s">
        <v>124</v>
      </c>
      <c r="R320" s="101" t="s">
        <v>124</v>
      </c>
      <c r="S320" s="101" t="n">
        <v>4</v>
      </c>
      <c r="T320" s="101" t="s">
        <v>479</v>
      </c>
      <c r="U320" s="101" t="s">
        <v>124</v>
      </c>
      <c r="V320" s="101" t="n">
        <v>234.2</v>
      </c>
    </row>
    <row r="321" customFormat="false" ht="15" hidden="false" customHeight="true" outlineLevel="0" collapsed="false">
      <c r="A321" s="101" t="s">
        <v>1699</v>
      </c>
      <c r="B321" s="101" t="s">
        <v>1700</v>
      </c>
      <c r="C321" s="101" t="s">
        <v>1701</v>
      </c>
      <c r="D321" s="101" t="s">
        <v>525</v>
      </c>
      <c r="E321" s="101" t="s">
        <v>514</v>
      </c>
      <c r="F321" s="101" t="s">
        <v>501</v>
      </c>
      <c r="G321" s="101" t="s">
        <v>502</v>
      </c>
      <c r="H321" s="101" t="s">
        <v>493</v>
      </c>
      <c r="I321" s="101" t="s">
        <v>494</v>
      </c>
      <c r="J321" s="101" t="s">
        <v>123</v>
      </c>
      <c r="K321" s="101" t="s">
        <v>120</v>
      </c>
      <c r="L321" s="101" t="s">
        <v>704</v>
      </c>
      <c r="M321" s="101" t="n">
        <v>25474</v>
      </c>
      <c r="N321" s="101" t="n">
        <v>0.76</v>
      </c>
      <c r="O321" s="101" t="n">
        <v>17.34</v>
      </c>
      <c r="P321" s="101" t="s">
        <v>124</v>
      </c>
      <c r="Q321" s="101" t="s">
        <v>113</v>
      </c>
      <c r="R321" s="101" t="s">
        <v>124</v>
      </c>
      <c r="S321" s="101"/>
      <c r="T321" s="101" t="s">
        <v>479</v>
      </c>
      <c r="U321" s="101" t="s">
        <v>124</v>
      </c>
      <c r="V321" s="101" t="n">
        <v>130.05</v>
      </c>
    </row>
    <row r="322" customFormat="false" ht="15" hidden="false" customHeight="true" outlineLevel="0" collapsed="false">
      <c r="A322" s="101" t="s">
        <v>1702</v>
      </c>
      <c r="B322" s="101" t="s">
        <v>1703</v>
      </c>
      <c r="C322" s="101" t="s">
        <v>1704</v>
      </c>
      <c r="D322" s="101" t="s">
        <v>610</v>
      </c>
      <c r="E322" s="101" t="s">
        <v>473</v>
      </c>
      <c r="F322" s="101" t="s">
        <v>501</v>
      </c>
      <c r="G322" s="101" t="s">
        <v>502</v>
      </c>
      <c r="H322" s="101" t="s">
        <v>644</v>
      </c>
      <c r="I322" s="101" t="s">
        <v>645</v>
      </c>
      <c r="J322" s="101" t="s">
        <v>133</v>
      </c>
      <c r="K322" s="101"/>
      <c r="L322" s="101" t="s">
        <v>547</v>
      </c>
      <c r="M322" s="101" t="n">
        <v>23</v>
      </c>
      <c r="N322" s="101" t="n">
        <v>0.12</v>
      </c>
      <c r="O322" s="101" t="n">
        <v>3.24</v>
      </c>
      <c r="P322" s="101" t="s">
        <v>113</v>
      </c>
      <c r="Q322" s="101" t="s">
        <v>113</v>
      </c>
      <c r="R322" s="101" t="s">
        <v>124</v>
      </c>
      <c r="S322" s="101" t="n">
        <v>4</v>
      </c>
      <c r="T322" s="101" t="s">
        <v>479</v>
      </c>
      <c r="U322" s="101" t="s">
        <v>124</v>
      </c>
      <c r="V322" s="101" t="n">
        <v>15.55</v>
      </c>
    </row>
    <row r="323" customFormat="false" ht="15" hidden="false" customHeight="true" outlineLevel="0" collapsed="false">
      <c r="A323" s="101" t="s">
        <v>1705</v>
      </c>
      <c r="B323" s="101" t="s">
        <v>1706</v>
      </c>
      <c r="C323" s="101" t="s">
        <v>1707</v>
      </c>
      <c r="D323" s="101" t="s">
        <v>866</v>
      </c>
      <c r="E323" s="101" t="s">
        <v>500</v>
      </c>
      <c r="F323" s="101" t="s">
        <v>474</v>
      </c>
      <c r="G323" s="101" t="s">
        <v>475</v>
      </c>
      <c r="H323" s="101" t="s">
        <v>880</v>
      </c>
      <c r="I323" s="101" t="s">
        <v>881</v>
      </c>
      <c r="J323" s="101" t="s">
        <v>118</v>
      </c>
      <c r="K323" s="101" t="s">
        <v>112</v>
      </c>
      <c r="L323" s="101" t="s">
        <v>1513</v>
      </c>
      <c r="M323" s="101" t="n">
        <v>93</v>
      </c>
      <c r="N323" s="101" t="n">
        <v>0.64</v>
      </c>
      <c r="O323" s="101" t="n">
        <v>25.245</v>
      </c>
      <c r="P323" s="101" t="s">
        <v>113</v>
      </c>
      <c r="Q323" s="101" t="s">
        <v>113</v>
      </c>
      <c r="R323" s="101" t="s">
        <v>124</v>
      </c>
      <c r="S323" s="101"/>
      <c r="T323" s="101" t="s">
        <v>479</v>
      </c>
      <c r="U323" s="101" t="s">
        <v>124</v>
      </c>
      <c r="V323" s="101" t="n">
        <v>436.67</v>
      </c>
    </row>
    <row r="324" customFormat="false" ht="15" hidden="false" customHeight="true" outlineLevel="0" collapsed="false">
      <c r="A324" s="101" t="s">
        <v>1708</v>
      </c>
      <c r="B324" s="101" t="s">
        <v>1709</v>
      </c>
      <c r="C324" s="101" t="s">
        <v>1710</v>
      </c>
      <c r="D324" s="101" t="s">
        <v>1274</v>
      </c>
      <c r="E324" s="101" t="s">
        <v>483</v>
      </c>
      <c r="F324" s="101" t="s">
        <v>559</v>
      </c>
      <c r="G324" s="101" t="s">
        <v>560</v>
      </c>
      <c r="H324" s="101" t="s">
        <v>517</v>
      </c>
      <c r="I324" s="101" t="s">
        <v>345</v>
      </c>
      <c r="J324" s="101" t="s">
        <v>133</v>
      </c>
      <c r="K324" s="101"/>
      <c r="L324" s="101" t="s">
        <v>547</v>
      </c>
      <c r="M324" s="101" t="n">
        <v>22</v>
      </c>
      <c r="N324" s="101" t="n">
        <v>3.04</v>
      </c>
      <c r="O324" s="101" t="n">
        <v>2.5</v>
      </c>
      <c r="P324" s="101" t="s">
        <v>113</v>
      </c>
      <c r="Q324" s="101" t="s">
        <v>124</v>
      </c>
      <c r="R324" s="101" t="s">
        <v>113</v>
      </c>
      <c r="S324" s="101" t="n">
        <v>4</v>
      </c>
      <c r="T324" s="101" t="s">
        <v>479</v>
      </c>
      <c r="U324" s="101" t="s">
        <v>124</v>
      </c>
      <c r="V324" s="101" t="n">
        <v>12</v>
      </c>
    </row>
    <row r="325" customFormat="false" ht="15" hidden="false" customHeight="true" outlineLevel="0" collapsed="false">
      <c r="A325" s="101" t="s">
        <v>1711</v>
      </c>
      <c r="B325" s="101" t="s">
        <v>1712</v>
      </c>
      <c r="C325" s="101" t="s">
        <v>667</v>
      </c>
      <c r="D325" s="101" t="s">
        <v>1196</v>
      </c>
      <c r="E325" s="101" t="s">
        <v>483</v>
      </c>
      <c r="F325" s="101" t="s">
        <v>492</v>
      </c>
      <c r="G325" s="101" t="s">
        <v>475</v>
      </c>
      <c r="H325" s="101" t="s">
        <v>673</v>
      </c>
      <c r="I325" s="101" t="s">
        <v>645</v>
      </c>
      <c r="J325" s="101" t="s">
        <v>118</v>
      </c>
      <c r="K325" s="101" t="s">
        <v>120</v>
      </c>
      <c r="L325" s="101" t="s">
        <v>1183</v>
      </c>
      <c r="M325" s="101" t="n">
        <v>108</v>
      </c>
      <c r="N325" s="101" t="n">
        <v>6.35</v>
      </c>
      <c r="O325" s="101" t="n">
        <v>14.6</v>
      </c>
      <c r="P325" s="101" t="s">
        <v>113</v>
      </c>
      <c r="Q325" s="101" t="s">
        <v>124</v>
      </c>
      <c r="R325" s="101" t="s">
        <v>113</v>
      </c>
      <c r="S325" s="101" t="n">
        <v>3</v>
      </c>
      <c r="T325" s="101" t="s">
        <v>487</v>
      </c>
      <c r="U325" s="101" t="s">
        <v>124</v>
      </c>
      <c r="V325" s="101" t="n">
        <v>252.54</v>
      </c>
    </row>
    <row r="326" customFormat="false" ht="15" hidden="false" customHeight="true" outlineLevel="0" collapsed="false">
      <c r="A326" s="101" t="s">
        <v>1713</v>
      </c>
      <c r="B326" s="101" t="s">
        <v>1714</v>
      </c>
      <c r="C326" s="101" t="s">
        <v>1715</v>
      </c>
      <c r="D326" s="101" t="s">
        <v>803</v>
      </c>
      <c r="E326" s="101" t="s">
        <v>539</v>
      </c>
      <c r="F326" s="101" t="s">
        <v>474</v>
      </c>
      <c r="G326" s="101" t="s">
        <v>475</v>
      </c>
      <c r="H326" s="101" t="s">
        <v>673</v>
      </c>
      <c r="I326" s="101" t="s">
        <v>645</v>
      </c>
      <c r="J326" s="101" t="s">
        <v>111</v>
      </c>
      <c r="K326" s="101" t="s">
        <v>112</v>
      </c>
      <c r="L326" s="101" t="s">
        <v>762</v>
      </c>
      <c r="M326" s="101" t="n">
        <v>289</v>
      </c>
      <c r="N326" s="101" t="n">
        <v>0.44</v>
      </c>
      <c r="O326" s="101" t="n">
        <v>12.9</v>
      </c>
      <c r="P326" s="101" t="s">
        <v>113</v>
      </c>
      <c r="Q326" s="101" t="s">
        <v>113</v>
      </c>
      <c r="R326" s="101" t="s">
        <v>124</v>
      </c>
      <c r="S326" s="101"/>
      <c r="T326" s="101" t="s">
        <v>487</v>
      </c>
      <c r="U326" s="101" t="s">
        <v>124</v>
      </c>
      <c r="V326" s="101" t="n">
        <v>181.92</v>
      </c>
    </row>
    <row r="327" customFormat="false" ht="15" hidden="false" customHeight="true" outlineLevel="0" collapsed="false">
      <c r="A327" s="101" t="s">
        <v>1716</v>
      </c>
      <c r="B327" s="101" t="s">
        <v>1717</v>
      </c>
      <c r="C327" s="101" t="s">
        <v>1718</v>
      </c>
      <c r="D327" s="101" t="s">
        <v>1719</v>
      </c>
      <c r="E327" s="101" t="s">
        <v>507</v>
      </c>
      <c r="F327" s="101" t="s">
        <v>559</v>
      </c>
      <c r="G327" s="101" t="s">
        <v>560</v>
      </c>
      <c r="H327" s="101" t="s">
        <v>673</v>
      </c>
      <c r="I327" s="101" t="s">
        <v>645</v>
      </c>
      <c r="J327" s="101" t="s">
        <v>115</v>
      </c>
      <c r="K327" s="101" t="s">
        <v>112</v>
      </c>
      <c r="L327" s="101" t="s">
        <v>1071</v>
      </c>
      <c r="M327" s="101" t="n">
        <v>144</v>
      </c>
      <c r="N327" s="101" t="n">
        <v>2.08</v>
      </c>
      <c r="O327" s="101" t="n">
        <v>17.5</v>
      </c>
      <c r="P327" s="101" t="s">
        <v>113</v>
      </c>
      <c r="Q327" s="101" t="s">
        <v>124</v>
      </c>
      <c r="R327" s="101" t="s">
        <v>124</v>
      </c>
      <c r="S327" s="101" t="n">
        <v>3</v>
      </c>
      <c r="T327" s="101" t="s">
        <v>487</v>
      </c>
      <c r="U327" s="101" t="s">
        <v>124</v>
      </c>
      <c r="V327" s="101" t="n">
        <v>266.3</v>
      </c>
    </row>
    <row r="328" customFormat="false" ht="15" hidden="false" customHeight="true" outlineLevel="0" collapsed="false">
      <c r="A328" s="101" t="s">
        <v>1720</v>
      </c>
      <c r="B328" s="101" t="s">
        <v>1721</v>
      </c>
      <c r="C328" s="101" t="s">
        <v>1722</v>
      </c>
      <c r="D328" s="102" t="n">
        <v>45867.4798611111</v>
      </c>
      <c r="E328" s="101" t="s">
        <v>507</v>
      </c>
      <c r="F328" s="101" t="s">
        <v>559</v>
      </c>
      <c r="G328" s="101" t="s">
        <v>560</v>
      </c>
      <c r="H328" s="101" t="s">
        <v>727</v>
      </c>
      <c r="I328" s="101" t="s">
        <v>645</v>
      </c>
      <c r="J328" s="101" t="s">
        <v>115</v>
      </c>
      <c r="K328" s="101" t="s">
        <v>120</v>
      </c>
      <c r="L328" s="101" t="s">
        <v>994</v>
      </c>
      <c r="M328" s="101" t="n">
        <v>257</v>
      </c>
      <c r="N328" s="101" t="n">
        <v>7.44</v>
      </c>
      <c r="O328" s="101" t="n">
        <v>4.4</v>
      </c>
      <c r="P328" s="101" t="s">
        <v>113</v>
      </c>
      <c r="Q328" s="101" t="s">
        <v>113</v>
      </c>
      <c r="R328" s="101" t="s">
        <v>124</v>
      </c>
      <c r="S328" s="101" t="n">
        <v>4</v>
      </c>
      <c r="T328" s="101" t="s">
        <v>479</v>
      </c>
      <c r="U328" s="101" t="s">
        <v>124</v>
      </c>
      <c r="V328" s="101" t="n">
        <v>66.96</v>
      </c>
    </row>
    <row r="329" customFormat="false" ht="15" hidden="false" customHeight="true" outlineLevel="0" collapsed="false">
      <c r="A329" s="101" t="s">
        <v>1723</v>
      </c>
      <c r="B329" s="101" t="s">
        <v>1724</v>
      </c>
      <c r="C329" s="101" t="s">
        <v>1725</v>
      </c>
      <c r="D329" s="101" t="s">
        <v>1726</v>
      </c>
      <c r="E329" s="101" t="s">
        <v>483</v>
      </c>
      <c r="F329" s="101" t="s">
        <v>508</v>
      </c>
      <c r="G329" s="101" t="s">
        <v>475</v>
      </c>
      <c r="H329" s="101" t="s">
        <v>476</v>
      </c>
      <c r="I329" s="101" t="s">
        <v>477</v>
      </c>
      <c r="J329" s="101" t="s">
        <v>133</v>
      </c>
      <c r="K329" s="101"/>
      <c r="L329" s="101" t="s">
        <v>547</v>
      </c>
      <c r="M329" s="101" t="n">
        <v>24</v>
      </c>
      <c r="N329" s="101" t="n">
        <v>6.73</v>
      </c>
      <c r="O329" s="101" t="n">
        <v>2.7</v>
      </c>
      <c r="P329" s="101" t="s">
        <v>113</v>
      </c>
      <c r="Q329" s="101" t="s">
        <v>113</v>
      </c>
      <c r="R329" s="101" t="s">
        <v>124</v>
      </c>
      <c r="S329" s="101" t="n">
        <v>5</v>
      </c>
      <c r="T329" s="101" t="s">
        <v>496</v>
      </c>
      <c r="U329" s="101" t="s">
        <v>124</v>
      </c>
      <c r="V329" s="101" t="n">
        <v>12.96</v>
      </c>
    </row>
    <row r="330" customFormat="false" ht="15" hidden="false" customHeight="true" outlineLevel="0" collapsed="false">
      <c r="A330" s="101" t="s">
        <v>1727</v>
      </c>
      <c r="B330" s="101" t="s">
        <v>1728</v>
      </c>
      <c r="C330" s="101" t="s">
        <v>1729</v>
      </c>
      <c r="D330" s="101" t="s">
        <v>577</v>
      </c>
      <c r="E330" s="101" t="s">
        <v>500</v>
      </c>
      <c r="F330" s="101" t="s">
        <v>474</v>
      </c>
      <c r="G330" s="101" t="s">
        <v>475</v>
      </c>
      <c r="H330" s="101" t="s">
        <v>673</v>
      </c>
      <c r="I330" s="101" t="s">
        <v>645</v>
      </c>
      <c r="J330" s="101" t="s">
        <v>118</v>
      </c>
      <c r="K330" s="101" t="s">
        <v>120</v>
      </c>
      <c r="L330" s="101" t="s">
        <v>994</v>
      </c>
      <c r="M330" s="101" t="n">
        <v>30</v>
      </c>
      <c r="N330" s="101" t="n">
        <v>1.89</v>
      </c>
      <c r="O330" s="101" t="n">
        <v>22.4</v>
      </c>
      <c r="P330" s="101" t="s">
        <v>113</v>
      </c>
      <c r="Q330" s="101" t="s">
        <v>113</v>
      </c>
      <c r="R330" s="101" t="s">
        <v>124</v>
      </c>
      <c r="S330" s="101" t="n">
        <v>5</v>
      </c>
      <c r="T330" s="101" t="s">
        <v>496</v>
      </c>
      <c r="U330" s="101" t="s">
        <v>124</v>
      </c>
      <c r="V330" s="101" t="n">
        <v>387.46</v>
      </c>
    </row>
    <row r="331" customFormat="false" ht="15" hidden="false" customHeight="true" outlineLevel="0" collapsed="false">
      <c r="A331" s="101" t="s">
        <v>1730</v>
      </c>
      <c r="B331" s="101" t="s">
        <v>1731</v>
      </c>
      <c r="C331" s="101" t="s">
        <v>1479</v>
      </c>
      <c r="D331" s="101" t="s">
        <v>703</v>
      </c>
      <c r="E331" s="101" t="s">
        <v>539</v>
      </c>
      <c r="F331" s="101" t="s">
        <v>545</v>
      </c>
      <c r="G331" s="101" t="s">
        <v>546</v>
      </c>
      <c r="H331" s="101" t="s">
        <v>484</v>
      </c>
      <c r="I331" s="101" t="s">
        <v>345</v>
      </c>
      <c r="J331" s="101" t="s">
        <v>123</v>
      </c>
      <c r="K331" s="101" t="s">
        <v>120</v>
      </c>
      <c r="L331" s="101" t="s">
        <v>1237</v>
      </c>
      <c r="M331" s="101" t="n">
        <v>6805</v>
      </c>
      <c r="N331" s="101" t="n">
        <v>35</v>
      </c>
      <c r="O331" s="101" t="n">
        <v>79.785</v>
      </c>
      <c r="P331" s="101" t="s">
        <v>113</v>
      </c>
      <c r="Q331" s="101" t="s">
        <v>113</v>
      </c>
      <c r="R331" s="101" t="s">
        <v>124</v>
      </c>
      <c r="S331" s="101" t="s">
        <v>486</v>
      </c>
      <c r="T331" s="101" t="s">
        <v>479</v>
      </c>
      <c r="U331" s="101" t="s">
        <v>124</v>
      </c>
      <c r="V331" s="101" t="n">
        <v>598.39</v>
      </c>
    </row>
    <row r="332" customFormat="false" ht="15" hidden="false" customHeight="true" outlineLevel="0" collapsed="false">
      <c r="A332" s="101" t="s">
        <v>1732</v>
      </c>
      <c r="B332" s="101" t="s">
        <v>1733</v>
      </c>
      <c r="C332" s="101" t="s">
        <v>1734</v>
      </c>
      <c r="D332" s="101" t="s">
        <v>482</v>
      </c>
      <c r="E332" s="101" t="s">
        <v>483</v>
      </c>
      <c r="F332" s="101" t="s">
        <v>474</v>
      </c>
      <c r="G332" s="101" t="s">
        <v>475</v>
      </c>
      <c r="H332" s="101" t="s">
        <v>517</v>
      </c>
      <c r="I332" s="101" t="s">
        <v>345</v>
      </c>
      <c r="J332" s="101" t="s">
        <v>123</v>
      </c>
      <c r="K332" s="101" t="s">
        <v>112</v>
      </c>
      <c r="L332" s="101" t="s">
        <v>695</v>
      </c>
      <c r="M332" s="101" t="n">
        <v>3312</v>
      </c>
      <c r="N332" s="101" t="n">
        <v>0.51</v>
      </c>
      <c r="O332" s="101" t="n">
        <v>35.8</v>
      </c>
      <c r="P332" s="101" t="s">
        <v>113</v>
      </c>
      <c r="Q332" s="101" t="s">
        <v>113</v>
      </c>
      <c r="R332" s="101" t="s">
        <v>124</v>
      </c>
      <c r="S332" s="101" t="s">
        <v>486</v>
      </c>
      <c r="T332" s="101" t="s">
        <v>479</v>
      </c>
      <c r="U332" s="101" t="s">
        <v>124</v>
      </c>
      <c r="V332" s="101" t="n">
        <v>268.5</v>
      </c>
    </row>
    <row r="333" customFormat="false" ht="15" hidden="false" customHeight="true" outlineLevel="0" collapsed="false">
      <c r="A333" s="101" t="s">
        <v>1735</v>
      </c>
      <c r="B333" s="101" t="s">
        <v>1736</v>
      </c>
      <c r="C333" s="101" t="s">
        <v>1737</v>
      </c>
      <c r="D333" s="101" t="s">
        <v>694</v>
      </c>
      <c r="E333" s="101" t="s">
        <v>507</v>
      </c>
      <c r="F333" s="101" t="s">
        <v>508</v>
      </c>
      <c r="G333" s="101" t="s">
        <v>475</v>
      </c>
      <c r="H333" s="101" t="s">
        <v>509</v>
      </c>
      <c r="I333" s="101" t="s">
        <v>345</v>
      </c>
      <c r="J333" s="101" t="s">
        <v>115</v>
      </c>
      <c r="K333" s="101" t="s">
        <v>120</v>
      </c>
      <c r="L333" s="101" t="s">
        <v>503</v>
      </c>
      <c r="M333" s="101" t="n">
        <v>60</v>
      </c>
      <c r="N333" s="101" t="n">
        <v>0.11</v>
      </c>
      <c r="O333" s="101" t="n">
        <v>8.1</v>
      </c>
      <c r="P333" s="101" t="s">
        <v>113</v>
      </c>
      <c r="Q333" s="101" t="s">
        <v>113</v>
      </c>
      <c r="R333" s="101" t="s">
        <v>124</v>
      </c>
      <c r="S333" s="101" t="n">
        <v>5</v>
      </c>
      <c r="T333" s="101" t="s">
        <v>496</v>
      </c>
      <c r="U333" s="101" t="s">
        <v>124</v>
      </c>
      <c r="V333" s="101" t="n">
        <v>123.26</v>
      </c>
    </row>
    <row r="334" customFormat="false" ht="15" hidden="false" customHeight="true" outlineLevel="0" collapsed="false">
      <c r="A334" s="101" t="s">
        <v>1738</v>
      </c>
      <c r="B334" s="101" t="s">
        <v>1739</v>
      </c>
      <c r="C334" s="101" t="s">
        <v>1178</v>
      </c>
      <c r="D334" s="101" t="s">
        <v>850</v>
      </c>
      <c r="E334" s="101" t="s">
        <v>507</v>
      </c>
      <c r="F334" s="101" t="s">
        <v>545</v>
      </c>
      <c r="G334" s="101" t="s">
        <v>546</v>
      </c>
      <c r="H334" s="101" t="s">
        <v>727</v>
      </c>
      <c r="I334" s="101" t="s">
        <v>645</v>
      </c>
      <c r="J334" s="101" t="s">
        <v>115</v>
      </c>
      <c r="K334" s="101" t="s">
        <v>112</v>
      </c>
      <c r="L334" s="101" t="s">
        <v>1740</v>
      </c>
      <c r="M334" s="101" t="n">
        <v>295</v>
      </c>
      <c r="N334" s="101" t="n">
        <v>4.92</v>
      </c>
      <c r="O334" s="101" t="n">
        <v>7</v>
      </c>
      <c r="P334" s="101" t="s">
        <v>113</v>
      </c>
      <c r="Q334" s="101" t="s">
        <v>124</v>
      </c>
      <c r="R334" s="101" t="s">
        <v>124</v>
      </c>
      <c r="S334" s="101" t="n">
        <v>2</v>
      </c>
      <c r="T334" s="101" t="s">
        <v>616</v>
      </c>
      <c r="U334" s="101" t="s">
        <v>124</v>
      </c>
      <c r="V334" s="101" t="n">
        <v>106.52</v>
      </c>
    </row>
    <row r="335" customFormat="false" ht="15" hidden="false" customHeight="true" outlineLevel="0" collapsed="false">
      <c r="A335" s="101" t="s">
        <v>1741</v>
      </c>
      <c r="B335" s="101" t="s">
        <v>1742</v>
      </c>
      <c r="C335" s="101" t="s">
        <v>1743</v>
      </c>
      <c r="D335" s="101" t="s">
        <v>922</v>
      </c>
      <c r="E335" s="101" t="s">
        <v>539</v>
      </c>
      <c r="F335" s="101" t="s">
        <v>501</v>
      </c>
      <c r="G335" s="101" t="s">
        <v>502</v>
      </c>
      <c r="H335" s="101" t="s">
        <v>540</v>
      </c>
      <c r="I335" s="101" t="s">
        <v>477</v>
      </c>
      <c r="J335" s="101" t="s">
        <v>118</v>
      </c>
      <c r="K335" s="101" t="s">
        <v>199</v>
      </c>
      <c r="L335" s="101" t="s">
        <v>664</v>
      </c>
      <c r="M335" s="101" t="n">
        <v>115</v>
      </c>
      <c r="N335" s="101" t="n">
        <v>19.04</v>
      </c>
      <c r="O335" s="101" t="n">
        <v>13.8</v>
      </c>
      <c r="P335" s="101" t="s">
        <v>113</v>
      </c>
      <c r="Q335" s="101" t="s">
        <v>113</v>
      </c>
      <c r="R335" s="101" t="s">
        <v>124</v>
      </c>
      <c r="S335" s="101" t="n">
        <v>4</v>
      </c>
      <c r="T335" s="101" t="s">
        <v>479</v>
      </c>
      <c r="U335" s="101" t="s">
        <v>124</v>
      </c>
      <c r="V335" s="101" t="n">
        <v>238.7</v>
      </c>
    </row>
    <row r="336" customFormat="false" ht="15" hidden="false" customHeight="true" outlineLevel="0" collapsed="false">
      <c r="A336" s="101" t="s">
        <v>1744</v>
      </c>
      <c r="B336" s="101" t="s">
        <v>1745</v>
      </c>
      <c r="C336" s="101" t="s">
        <v>1746</v>
      </c>
      <c r="D336" s="101" t="s">
        <v>1102</v>
      </c>
      <c r="E336" s="101" t="s">
        <v>473</v>
      </c>
      <c r="F336" s="101" t="s">
        <v>530</v>
      </c>
      <c r="G336" s="101" t="s">
        <v>516</v>
      </c>
      <c r="H336" s="101" t="s">
        <v>673</v>
      </c>
      <c r="I336" s="101" t="s">
        <v>645</v>
      </c>
      <c r="J336" s="101" t="s">
        <v>118</v>
      </c>
      <c r="K336" s="101" t="s">
        <v>112</v>
      </c>
      <c r="L336" s="101" t="s">
        <v>1747</v>
      </c>
      <c r="M336" s="101" t="n">
        <v>21</v>
      </c>
      <c r="N336" s="101" t="n">
        <v>2.92</v>
      </c>
      <c r="O336" s="101" t="n">
        <v>32.3</v>
      </c>
      <c r="P336" s="101" t="s">
        <v>113</v>
      </c>
      <c r="Q336" s="101" t="s">
        <v>113</v>
      </c>
      <c r="R336" s="101" t="s">
        <v>124</v>
      </c>
      <c r="S336" s="101" t="n">
        <v>5</v>
      </c>
      <c r="T336" s="101" t="s">
        <v>496</v>
      </c>
      <c r="U336" s="101" t="s">
        <v>124</v>
      </c>
      <c r="V336" s="101" t="n">
        <v>558.7</v>
      </c>
    </row>
    <row r="337" customFormat="false" ht="15" hidden="false" customHeight="true" outlineLevel="0" collapsed="false">
      <c r="A337" s="101" t="s">
        <v>1748</v>
      </c>
      <c r="B337" s="101" t="s">
        <v>1749</v>
      </c>
      <c r="C337" s="101" t="s">
        <v>1750</v>
      </c>
      <c r="D337" s="101" t="s">
        <v>828</v>
      </c>
      <c r="E337" s="101" t="s">
        <v>539</v>
      </c>
      <c r="F337" s="101" t="s">
        <v>492</v>
      </c>
      <c r="G337" s="101" t="s">
        <v>475</v>
      </c>
      <c r="H337" s="101" t="s">
        <v>484</v>
      </c>
      <c r="I337" s="101" t="s">
        <v>345</v>
      </c>
      <c r="J337" s="101" t="s">
        <v>118</v>
      </c>
      <c r="K337" s="101" t="s">
        <v>120</v>
      </c>
      <c r="L337" s="101" t="s">
        <v>728</v>
      </c>
      <c r="M337" s="101" t="n">
        <v>15</v>
      </c>
      <c r="N337" s="101" t="n">
        <v>5.71</v>
      </c>
      <c r="O337" s="101" t="n">
        <v>12.42</v>
      </c>
      <c r="P337" s="101" t="s">
        <v>113</v>
      </c>
      <c r="Q337" s="101" t="s">
        <v>113</v>
      </c>
      <c r="R337" s="101" t="s">
        <v>124</v>
      </c>
      <c r="S337" s="101" t="n">
        <v>5</v>
      </c>
      <c r="T337" s="101" t="s">
        <v>496</v>
      </c>
      <c r="U337" s="101" t="s">
        <v>124</v>
      </c>
      <c r="V337" s="101" t="n">
        <v>214.83</v>
      </c>
    </row>
    <row r="338" customFormat="false" ht="15" hidden="false" customHeight="true" outlineLevel="0" collapsed="false">
      <c r="A338" s="101" t="s">
        <v>1751</v>
      </c>
      <c r="B338" s="101" t="s">
        <v>1752</v>
      </c>
      <c r="C338" s="101" t="s">
        <v>1753</v>
      </c>
      <c r="D338" s="101" t="s">
        <v>1754</v>
      </c>
      <c r="E338" s="101" t="s">
        <v>500</v>
      </c>
      <c r="F338" s="101" t="s">
        <v>474</v>
      </c>
      <c r="G338" s="101" t="s">
        <v>475</v>
      </c>
      <c r="H338" s="101" t="s">
        <v>592</v>
      </c>
      <c r="I338" s="101" t="s">
        <v>593</v>
      </c>
      <c r="J338" s="101" t="s">
        <v>118</v>
      </c>
      <c r="K338" s="101" t="s">
        <v>194</v>
      </c>
      <c r="L338" s="101" t="s">
        <v>1029</v>
      </c>
      <c r="M338" s="101" t="n">
        <v>104</v>
      </c>
      <c r="N338" s="101" t="n">
        <v>1.22</v>
      </c>
      <c r="O338" s="101" t="n">
        <v>13.8</v>
      </c>
      <c r="P338" s="101" t="s">
        <v>113</v>
      </c>
      <c r="Q338" s="101" t="s">
        <v>113</v>
      </c>
      <c r="R338" s="101" t="s">
        <v>124</v>
      </c>
      <c r="S338" s="101" t="s">
        <v>486</v>
      </c>
      <c r="T338" s="101" t="s">
        <v>616</v>
      </c>
      <c r="U338" s="101" t="s">
        <v>124</v>
      </c>
      <c r="V338" s="101" t="n">
        <v>238.7</v>
      </c>
    </row>
    <row r="339" customFormat="false" ht="15" hidden="false" customHeight="true" outlineLevel="0" collapsed="false">
      <c r="A339" s="101" t="s">
        <v>1755</v>
      </c>
      <c r="B339" s="101" t="s">
        <v>1756</v>
      </c>
      <c r="C339" s="101" t="s">
        <v>1757</v>
      </c>
      <c r="D339" s="101" t="s">
        <v>1758</v>
      </c>
      <c r="E339" s="101" t="s">
        <v>539</v>
      </c>
      <c r="F339" s="101" t="s">
        <v>559</v>
      </c>
      <c r="G339" s="101" t="s">
        <v>560</v>
      </c>
      <c r="H339" s="101" t="s">
        <v>540</v>
      </c>
      <c r="I339" s="101" t="s">
        <v>477</v>
      </c>
      <c r="J339" s="101" t="s">
        <v>111</v>
      </c>
      <c r="K339" s="101" t="s">
        <v>112</v>
      </c>
      <c r="L339" s="101" t="s">
        <v>762</v>
      </c>
      <c r="M339" s="101" t="n">
        <v>140</v>
      </c>
      <c r="N339" s="101" t="n">
        <v>18.44</v>
      </c>
      <c r="O339" s="101" t="n">
        <v>10.6</v>
      </c>
      <c r="P339" s="101" t="s">
        <v>113</v>
      </c>
      <c r="Q339" s="101" t="s">
        <v>113</v>
      </c>
      <c r="R339" s="101" t="s">
        <v>124</v>
      </c>
      <c r="S339" s="101" t="n">
        <v>4</v>
      </c>
      <c r="T339" s="101" t="s">
        <v>479</v>
      </c>
      <c r="U339" s="101" t="s">
        <v>124</v>
      </c>
      <c r="V339" s="101" t="n">
        <v>149.49</v>
      </c>
    </row>
    <row r="340" customFormat="false" ht="15" hidden="false" customHeight="true" outlineLevel="0" collapsed="false">
      <c r="A340" s="101" t="s">
        <v>1759</v>
      </c>
      <c r="B340" s="101" t="s">
        <v>1760</v>
      </c>
      <c r="C340" s="101" t="s">
        <v>1761</v>
      </c>
      <c r="D340" s="101" t="s">
        <v>521</v>
      </c>
      <c r="E340" s="101" t="s">
        <v>473</v>
      </c>
      <c r="F340" s="101" t="s">
        <v>474</v>
      </c>
      <c r="G340" s="101" t="s">
        <v>475</v>
      </c>
      <c r="H340" s="101" t="s">
        <v>517</v>
      </c>
      <c r="I340" s="101" t="s">
        <v>345</v>
      </c>
      <c r="J340" s="101" t="s">
        <v>111</v>
      </c>
      <c r="K340" s="101" t="s">
        <v>199</v>
      </c>
      <c r="L340" s="101" t="s">
        <v>606</v>
      </c>
      <c r="M340" s="101" t="n">
        <v>869</v>
      </c>
      <c r="N340" s="101" t="n">
        <v>3.42</v>
      </c>
      <c r="O340" s="101" t="n">
        <v>12</v>
      </c>
      <c r="P340" s="101" t="s">
        <v>113</v>
      </c>
      <c r="Q340" s="101" t="s">
        <v>113</v>
      </c>
      <c r="R340" s="101" t="s">
        <v>124</v>
      </c>
      <c r="S340" s="101" t="n">
        <v>5</v>
      </c>
      <c r="T340" s="101" t="s">
        <v>496</v>
      </c>
      <c r="U340" s="101" t="s">
        <v>124</v>
      </c>
      <c r="V340" s="101" t="n">
        <v>169.23</v>
      </c>
    </row>
    <row r="341" customFormat="false" ht="15" hidden="false" customHeight="true" outlineLevel="0" collapsed="false">
      <c r="A341" s="101" t="s">
        <v>1762</v>
      </c>
      <c r="B341" s="101" t="s">
        <v>1763</v>
      </c>
      <c r="C341" s="101" t="s">
        <v>1764</v>
      </c>
      <c r="D341" s="101" t="s">
        <v>997</v>
      </c>
      <c r="E341" s="101" t="s">
        <v>500</v>
      </c>
      <c r="F341" s="101" t="s">
        <v>740</v>
      </c>
      <c r="G341" s="101" t="s">
        <v>560</v>
      </c>
      <c r="H341" s="101" t="s">
        <v>493</v>
      </c>
      <c r="I341" s="101" t="s">
        <v>494</v>
      </c>
      <c r="J341" s="101" t="s">
        <v>115</v>
      </c>
      <c r="K341" s="101" t="s">
        <v>199</v>
      </c>
      <c r="L341" s="101" t="s">
        <v>664</v>
      </c>
      <c r="M341" s="101" t="n">
        <v>239</v>
      </c>
      <c r="N341" s="101" t="n">
        <v>5.52</v>
      </c>
      <c r="O341" s="101" t="n">
        <v>7.395</v>
      </c>
      <c r="P341" s="101" t="s">
        <v>113</v>
      </c>
      <c r="Q341" s="101" t="s">
        <v>113</v>
      </c>
      <c r="R341" s="101" t="s">
        <v>124</v>
      </c>
      <c r="S341" s="101"/>
      <c r="T341" s="101" t="s">
        <v>479</v>
      </c>
      <c r="U341" s="101" t="s">
        <v>124</v>
      </c>
      <c r="V341" s="101" t="n">
        <v>112.53</v>
      </c>
    </row>
    <row r="342" customFormat="false" ht="15" hidden="false" customHeight="true" outlineLevel="0" collapsed="false">
      <c r="A342" s="101" t="s">
        <v>1765</v>
      </c>
      <c r="B342" s="101" t="s">
        <v>1766</v>
      </c>
      <c r="C342" s="101" t="s">
        <v>1767</v>
      </c>
      <c r="D342" s="101" t="s">
        <v>1187</v>
      </c>
      <c r="E342" s="101" t="s">
        <v>507</v>
      </c>
      <c r="F342" s="101" t="s">
        <v>508</v>
      </c>
      <c r="G342" s="101" t="s">
        <v>475</v>
      </c>
      <c r="H342" s="101" t="s">
        <v>476</v>
      </c>
      <c r="I342" s="101" t="s">
        <v>477</v>
      </c>
      <c r="J342" s="101" t="s">
        <v>115</v>
      </c>
      <c r="K342" s="101" t="s">
        <v>120</v>
      </c>
      <c r="L342" s="101" t="s">
        <v>535</v>
      </c>
      <c r="M342" s="101" t="n">
        <v>221</v>
      </c>
      <c r="N342" s="101" t="n">
        <v>18.46</v>
      </c>
      <c r="O342" s="101" t="n">
        <v>15.525</v>
      </c>
      <c r="P342" s="101" t="s">
        <v>113</v>
      </c>
      <c r="Q342" s="101" t="s">
        <v>124</v>
      </c>
      <c r="R342" s="101" t="s">
        <v>124</v>
      </c>
      <c r="S342" s="101" t="s">
        <v>486</v>
      </c>
      <c r="T342" s="101" t="s">
        <v>487</v>
      </c>
      <c r="U342" s="101" t="s">
        <v>124</v>
      </c>
      <c r="V342" s="101" t="n">
        <v>236.25</v>
      </c>
    </row>
    <row r="343" customFormat="false" ht="15" hidden="false" customHeight="true" outlineLevel="0" collapsed="false">
      <c r="A343" s="101" t="s">
        <v>1768</v>
      </c>
      <c r="B343" s="101" t="s">
        <v>1756</v>
      </c>
      <c r="C343" s="101" t="s">
        <v>1757</v>
      </c>
      <c r="D343" s="101" t="s">
        <v>777</v>
      </c>
      <c r="E343" s="101" t="s">
        <v>514</v>
      </c>
      <c r="F343" s="101" t="s">
        <v>474</v>
      </c>
      <c r="G343" s="101" t="s">
        <v>475</v>
      </c>
      <c r="H343" s="101" t="s">
        <v>540</v>
      </c>
      <c r="I343" s="101" t="s">
        <v>477</v>
      </c>
      <c r="J343" s="101" t="s">
        <v>111</v>
      </c>
      <c r="K343" s="101" t="s">
        <v>116</v>
      </c>
      <c r="L343" s="101" t="s">
        <v>946</v>
      </c>
      <c r="M343" s="101" t="n">
        <v>784</v>
      </c>
      <c r="N343" s="101" t="n">
        <v>24.73</v>
      </c>
      <c r="O343" s="101" t="n">
        <v>5.1</v>
      </c>
      <c r="P343" s="101" t="s">
        <v>113</v>
      </c>
      <c r="Q343" s="101" t="s">
        <v>124</v>
      </c>
      <c r="R343" s="101" t="s">
        <v>124</v>
      </c>
      <c r="S343" s="101" t="n">
        <v>3</v>
      </c>
      <c r="T343" s="101" t="s">
        <v>487</v>
      </c>
      <c r="U343" s="101" t="s">
        <v>124</v>
      </c>
      <c r="V343" s="101" t="n">
        <v>71.92</v>
      </c>
    </row>
    <row r="344" customFormat="false" ht="15" hidden="false" customHeight="true" outlineLevel="0" collapsed="false">
      <c r="A344" s="101" t="s">
        <v>1769</v>
      </c>
      <c r="B344" s="101" t="s">
        <v>1770</v>
      </c>
      <c r="C344" s="101" t="s">
        <v>1771</v>
      </c>
      <c r="D344" s="101" t="s">
        <v>1134</v>
      </c>
      <c r="E344" s="101" t="s">
        <v>473</v>
      </c>
      <c r="F344" s="101" t="s">
        <v>474</v>
      </c>
      <c r="G344" s="101" t="s">
        <v>475</v>
      </c>
      <c r="H344" s="101" t="s">
        <v>493</v>
      </c>
      <c r="I344" s="101" t="s">
        <v>494</v>
      </c>
      <c r="J344" s="101" t="s">
        <v>133</v>
      </c>
      <c r="K344" s="101"/>
      <c r="L344" s="101" t="s">
        <v>547</v>
      </c>
      <c r="M344" s="101" t="n">
        <v>24</v>
      </c>
      <c r="N344" s="101" t="n">
        <v>6.35</v>
      </c>
      <c r="O344" s="101" t="n">
        <v>2.465</v>
      </c>
      <c r="P344" s="101" t="s">
        <v>113</v>
      </c>
      <c r="Q344" s="101" t="s">
        <v>113</v>
      </c>
      <c r="R344" s="101" t="s">
        <v>124</v>
      </c>
      <c r="S344" s="101" t="s">
        <v>486</v>
      </c>
      <c r="T344" s="101" t="s">
        <v>487</v>
      </c>
      <c r="U344" s="101" t="s">
        <v>124</v>
      </c>
      <c r="V344" s="101" t="n">
        <v>11.83</v>
      </c>
    </row>
    <row r="345" customFormat="false" ht="15" hidden="false" customHeight="true" outlineLevel="0" collapsed="false">
      <c r="A345" s="101" t="s">
        <v>1772</v>
      </c>
      <c r="B345" s="101" t="s">
        <v>1773</v>
      </c>
      <c r="C345" s="101" t="s">
        <v>1774</v>
      </c>
      <c r="D345" s="101" t="s">
        <v>1074</v>
      </c>
      <c r="E345" s="101" t="s">
        <v>514</v>
      </c>
      <c r="F345" s="101" t="s">
        <v>508</v>
      </c>
      <c r="G345" s="101" t="s">
        <v>475</v>
      </c>
      <c r="H345" s="101" t="s">
        <v>673</v>
      </c>
      <c r="I345" s="101" t="s">
        <v>645</v>
      </c>
      <c r="J345" s="101" t="s">
        <v>133</v>
      </c>
      <c r="K345" s="101"/>
      <c r="L345" s="101" t="s">
        <v>547</v>
      </c>
      <c r="M345" s="101" t="n">
        <v>14</v>
      </c>
      <c r="N345" s="101" t="n">
        <v>1.87</v>
      </c>
      <c r="O345" s="101" t="n">
        <v>2.6</v>
      </c>
      <c r="P345" s="101" t="s">
        <v>113</v>
      </c>
      <c r="Q345" s="101" t="s">
        <v>113</v>
      </c>
      <c r="R345" s="101" t="s">
        <v>124</v>
      </c>
      <c r="S345" s="101" t="n">
        <v>4</v>
      </c>
      <c r="T345" s="101" t="s">
        <v>479</v>
      </c>
      <c r="U345" s="101" t="s">
        <v>124</v>
      </c>
      <c r="V345" s="101" t="n">
        <v>12.48</v>
      </c>
    </row>
    <row r="346" customFormat="false" ht="15" hidden="false" customHeight="true" outlineLevel="0" collapsed="false">
      <c r="A346" s="101" t="s">
        <v>1775</v>
      </c>
      <c r="B346" s="101" t="s">
        <v>1776</v>
      </c>
      <c r="C346" s="101" t="s">
        <v>1777</v>
      </c>
      <c r="D346" s="101" t="s">
        <v>1778</v>
      </c>
      <c r="E346" s="101" t="s">
        <v>539</v>
      </c>
      <c r="F346" s="101" t="s">
        <v>559</v>
      </c>
      <c r="G346" s="101" t="s">
        <v>560</v>
      </c>
      <c r="H346" s="101" t="s">
        <v>673</v>
      </c>
      <c r="I346" s="101" t="s">
        <v>645</v>
      </c>
      <c r="J346" s="101" t="s">
        <v>118</v>
      </c>
      <c r="K346" s="101" t="s">
        <v>112</v>
      </c>
      <c r="L346" s="101" t="s">
        <v>578</v>
      </c>
      <c r="M346" s="101" t="n">
        <v>115</v>
      </c>
      <c r="N346" s="101" t="n">
        <v>0.72</v>
      </c>
      <c r="O346" s="101" t="n">
        <v>16.8</v>
      </c>
      <c r="P346" s="101" t="s">
        <v>113</v>
      </c>
      <c r="Q346" s="101" t="s">
        <v>113</v>
      </c>
      <c r="R346" s="101" t="s">
        <v>124</v>
      </c>
      <c r="S346" s="101" t="n">
        <v>4</v>
      </c>
      <c r="T346" s="101" t="s">
        <v>479</v>
      </c>
      <c r="U346" s="101" t="s">
        <v>124</v>
      </c>
      <c r="V346" s="101" t="n">
        <v>290.59</v>
      </c>
    </row>
    <row r="347" customFormat="false" ht="15" hidden="false" customHeight="true" outlineLevel="0" collapsed="false">
      <c r="A347" s="101" t="s">
        <v>1779</v>
      </c>
      <c r="B347" s="101" t="s">
        <v>1780</v>
      </c>
      <c r="C347" s="101" t="s">
        <v>1781</v>
      </c>
      <c r="D347" s="101" t="s">
        <v>550</v>
      </c>
      <c r="E347" s="101" t="s">
        <v>500</v>
      </c>
      <c r="F347" s="101" t="s">
        <v>545</v>
      </c>
      <c r="G347" s="101" t="s">
        <v>546</v>
      </c>
      <c r="H347" s="101" t="s">
        <v>493</v>
      </c>
      <c r="I347" s="101" t="s">
        <v>494</v>
      </c>
      <c r="J347" s="101" t="s">
        <v>115</v>
      </c>
      <c r="K347" s="101" t="s">
        <v>120</v>
      </c>
      <c r="L347" s="101" t="s">
        <v>1633</v>
      </c>
      <c r="M347" s="101" t="n">
        <v>298</v>
      </c>
      <c r="N347" s="101" t="n">
        <v>2.13</v>
      </c>
      <c r="O347" s="101" t="n">
        <v>10.625</v>
      </c>
      <c r="P347" s="101" t="s">
        <v>113</v>
      </c>
      <c r="Q347" s="101" t="s">
        <v>124</v>
      </c>
      <c r="R347" s="101" t="s">
        <v>124</v>
      </c>
      <c r="S347" s="101" t="s">
        <v>486</v>
      </c>
      <c r="T347" s="101" t="s">
        <v>496</v>
      </c>
      <c r="U347" s="101" t="s">
        <v>124</v>
      </c>
      <c r="V347" s="101" t="n">
        <v>161.68</v>
      </c>
    </row>
    <row r="348" customFormat="false" ht="15" hidden="false" customHeight="true" outlineLevel="0" collapsed="false">
      <c r="A348" s="101" t="s">
        <v>1782</v>
      </c>
      <c r="B348" s="101" t="s">
        <v>1739</v>
      </c>
      <c r="C348" s="101" t="s">
        <v>1178</v>
      </c>
      <c r="D348" s="101" t="s">
        <v>1285</v>
      </c>
      <c r="E348" s="101" t="s">
        <v>514</v>
      </c>
      <c r="F348" s="101" t="s">
        <v>530</v>
      </c>
      <c r="G348" s="101" t="s">
        <v>516</v>
      </c>
      <c r="H348" s="101" t="s">
        <v>673</v>
      </c>
      <c r="I348" s="101" t="s">
        <v>645</v>
      </c>
      <c r="J348" s="101" t="s">
        <v>115</v>
      </c>
      <c r="K348" s="101" t="s">
        <v>120</v>
      </c>
      <c r="L348" s="101" t="s">
        <v>1168</v>
      </c>
      <c r="M348" s="101" t="n">
        <v>299</v>
      </c>
      <c r="N348" s="101" t="n">
        <v>5.32</v>
      </c>
      <c r="O348" s="101" t="n">
        <v>12.9</v>
      </c>
      <c r="P348" s="101" t="s">
        <v>113</v>
      </c>
      <c r="Q348" s="101" t="s">
        <v>124</v>
      </c>
      <c r="R348" s="101" t="s">
        <v>124</v>
      </c>
      <c r="S348" s="101" t="n">
        <v>4</v>
      </c>
      <c r="T348" s="101" t="s">
        <v>479</v>
      </c>
      <c r="U348" s="101" t="s">
        <v>124</v>
      </c>
      <c r="V348" s="101" t="n">
        <v>196.3</v>
      </c>
    </row>
    <row r="349" customFormat="false" ht="15" hidden="false" customHeight="true" outlineLevel="0" collapsed="false">
      <c r="A349" s="101" t="s">
        <v>1783</v>
      </c>
      <c r="B349" s="101" t="s">
        <v>1388</v>
      </c>
      <c r="C349" s="101" t="s">
        <v>1255</v>
      </c>
      <c r="D349" s="101" t="s">
        <v>782</v>
      </c>
      <c r="E349" s="101" t="s">
        <v>491</v>
      </c>
      <c r="F349" s="101" t="s">
        <v>530</v>
      </c>
      <c r="G349" s="101" t="s">
        <v>516</v>
      </c>
      <c r="H349" s="101" t="s">
        <v>561</v>
      </c>
      <c r="I349" s="101" t="s">
        <v>345</v>
      </c>
      <c r="J349" s="101" t="s">
        <v>115</v>
      </c>
      <c r="K349" s="101" t="s">
        <v>199</v>
      </c>
      <c r="L349" s="101" t="s">
        <v>795</v>
      </c>
      <c r="M349" s="101" t="n">
        <v>167</v>
      </c>
      <c r="N349" s="101" t="n">
        <v>3.93</v>
      </c>
      <c r="O349" s="101" t="n">
        <v>13.9</v>
      </c>
      <c r="P349" s="101" t="s">
        <v>113</v>
      </c>
      <c r="Q349" s="101" t="s">
        <v>113</v>
      </c>
      <c r="R349" s="101" t="s">
        <v>124</v>
      </c>
      <c r="S349" s="101" t="n">
        <v>5</v>
      </c>
      <c r="T349" s="101" t="s">
        <v>496</v>
      </c>
      <c r="U349" s="101" t="s">
        <v>124</v>
      </c>
      <c r="V349" s="101" t="n">
        <v>211.52</v>
      </c>
    </row>
    <row r="350" customFormat="false" ht="15" hidden="false" customHeight="true" outlineLevel="0" collapsed="false">
      <c r="A350" s="101" t="s">
        <v>1784</v>
      </c>
      <c r="B350" s="101" t="s">
        <v>1785</v>
      </c>
      <c r="C350" s="101" t="s">
        <v>1786</v>
      </c>
      <c r="D350" s="101" t="s">
        <v>1274</v>
      </c>
      <c r="E350" s="101" t="s">
        <v>483</v>
      </c>
      <c r="F350" s="101" t="s">
        <v>515</v>
      </c>
      <c r="G350" s="101" t="s">
        <v>516</v>
      </c>
      <c r="H350" s="101" t="s">
        <v>517</v>
      </c>
      <c r="I350" s="101" t="s">
        <v>345</v>
      </c>
      <c r="J350" s="101" t="s">
        <v>111</v>
      </c>
      <c r="K350" s="101" t="s">
        <v>116</v>
      </c>
      <c r="L350" s="101" t="s">
        <v>1233</v>
      </c>
      <c r="M350" s="101" t="n">
        <v>75</v>
      </c>
      <c r="N350" s="101" t="n">
        <v>0.84</v>
      </c>
      <c r="O350" s="101" t="n">
        <v>10.2</v>
      </c>
      <c r="P350" s="101" t="s">
        <v>113</v>
      </c>
      <c r="Q350" s="101" t="s">
        <v>113</v>
      </c>
      <c r="R350" s="101" t="s">
        <v>124</v>
      </c>
      <c r="S350" s="101" t="n">
        <v>4</v>
      </c>
      <c r="T350" s="101" t="s">
        <v>479</v>
      </c>
      <c r="U350" s="101" t="s">
        <v>124</v>
      </c>
      <c r="V350" s="101" t="n">
        <v>143.85</v>
      </c>
    </row>
    <row r="351" customFormat="false" ht="15" hidden="false" customHeight="true" outlineLevel="0" collapsed="false">
      <c r="A351" s="101" t="s">
        <v>1787</v>
      </c>
      <c r="B351" s="101" t="s">
        <v>1543</v>
      </c>
      <c r="C351" s="101" t="s">
        <v>1544</v>
      </c>
      <c r="D351" s="101" t="s">
        <v>1409</v>
      </c>
      <c r="E351" s="101" t="s">
        <v>491</v>
      </c>
      <c r="F351" s="101" t="s">
        <v>508</v>
      </c>
      <c r="G351" s="101" t="s">
        <v>475</v>
      </c>
      <c r="H351" s="101" t="s">
        <v>540</v>
      </c>
      <c r="I351" s="101" t="s">
        <v>477</v>
      </c>
      <c r="J351" s="101" t="s">
        <v>115</v>
      </c>
      <c r="K351" s="101" t="s">
        <v>120</v>
      </c>
      <c r="L351" s="101" t="s">
        <v>1433</v>
      </c>
      <c r="M351" s="101" t="n">
        <v>228</v>
      </c>
      <c r="N351" s="101" t="n">
        <v>1.74</v>
      </c>
      <c r="O351" s="101" t="n">
        <v>10.4</v>
      </c>
      <c r="P351" s="101" t="s">
        <v>113</v>
      </c>
      <c r="Q351" s="101" t="s">
        <v>113</v>
      </c>
      <c r="R351" s="101" t="s">
        <v>124</v>
      </c>
      <c r="S351" s="101" t="n">
        <v>5</v>
      </c>
      <c r="T351" s="101" t="s">
        <v>496</v>
      </c>
      <c r="U351" s="101" t="s">
        <v>124</v>
      </c>
      <c r="V351" s="101" t="n">
        <v>158.26</v>
      </c>
    </row>
    <row r="352" customFormat="false" ht="15" hidden="false" customHeight="true" outlineLevel="0" collapsed="false">
      <c r="A352" s="101" t="s">
        <v>1788</v>
      </c>
      <c r="B352" s="101" t="s">
        <v>1789</v>
      </c>
      <c r="C352" s="101" t="s">
        <v>1620</v>
      </c>
      <c r="D352" s="101" t="s">
        <v>1345</v>
      </c>
      <c r="E352" s="101" t="s">
        <v>514</v>
      </c>
      <c r="F352" s="101" t="s">
        <v>566</v>
      </c>
      <c r="G352" s="101" t="s">
        <v>546</v>
      </c>
      <c r="H352" s="101" t="s">
        <v>484</v>
      </c>
      <c r="I352" s="101" t="s">
        <v>345</v>
      </c>
      <c r="J352" s="101" t="s">
        <v>115</v>
      </c>
      <c r="K352" s="101" t="s">
        <v>112</v>
      </c>
      <c r="L352" s="101" t="s">
        <v>510</v>
      </c>
      <c r="M352" s="101" t="n">
        <v>64</v>
      </c>
      <c r="N352" s="101" t="n">
        <v>6.35</v>
      </c>
      <c r="O352" s="101" t="n">
        <v>10.8</v>
      </c>
      <c r="P352" s="101" t="s">
        <v>113</v>
      </c>
      <c r="Q352" s="101" t="s">
        <v>113</v>
      </c>
      <c r="R352" s="101" t="s">
        <v>124</v>
      </c>
      <c r="S352" s="101" t="n">
        <v>3</v>
      </c>
      <c r="T352" s="101" t="s">
        <v>487</v>
      </c>
      <c r="U352" s="101" t="s">
        <v>124</v>
      </c>
      <c r="V352" s="101" t="n">
        <v>164.35</v>
      </c>
    </row>
    <row r="353" customFormat="false" ht="15" hidden="false" customHeight="true" outlineLevel="0" collapsed="false">
      <c r="A353" s="101" t="s">
        <v>1790</v>
      </c>
      <c r="B353" s="101" t="s">
        <v>1791</v>
      </c>
      <c r="C353" s="101" t="s">
        <v>1792</v>
      </c>
      <c r="D353" s="101" t="s">
        <v>610</v>
      </c>
      <c r="E353" s="101" t="s">
        <v>473</v>
      </c>
      <c r="F353" s="101" t="s">
        <v>515</v>
      </c>
      <c r="G353" s="101" t="s">
        <v>516</v>
      </c>
      <c r="H353" s="101" t="s">
        <v>484</v>
      </c>
      <c r="I353" s="101" t="s">
        <v>345</v>
      </c>
      <c r="J353" s="101" t="s">
        <v>118</v>
      </c>
      <c r="K353" s="101" t="s">
        <v>120</v>
      </c>
      <c r="L353" s="101" t="s">
        <v>690</v>
      </c>
      <c r="M353" s="101" t="n">
        <v>89</v>
      </c>
      <c r="N353" s="101" t="n">
        <v>15.97</v>
      </c>
      <c r="O353" s="101" t="n">
        <v>16.875</v>
      </c>
      <c r="P353" s="101" t="s">
        <v>113</v>
      </c>
      <c r="Q353" s="101" t="s">
        <v>113</v>
      </c>
      <c r="R353" s="101" t="s">
        <v>124</v>
      </c>
      <c r="S353" s="101" t="s">
        <v>486</v>
      </c>
      <c r="T353" s="101" t="s">
        <v>479</v>
      </c>
      <c r="U353" s="101" t="s">
        <v>124</v>
      </c>
      <c r="V353" s="101" t="n">
        <v>291.89</v>
      </c>
    </row>
    <row r="354" customFormat="false" ht="15" hidden="false" customHeight="true" outlineLevel="0" collapsed="false">
      <c r="A354" s="101" t="s">
        <v>1793</v>
      </c>
      <c r="B354" s="101" t="s">
        <v>1794</v>
      </c>
      <c r="C354" s="101" t="s">
        <v>1795</v>
      </c>
      <c r="D354" s="101" t="s">
        <v>525</v>
      </c>
      <c r="E354" s="101" t="s">
        <v>514</v>
      </c>
      <c r="F354" s="101" t="s">
        <v>530</v>
      </c>
      <c r="G354" s="101" t="s">
        <v>516</v>
      </c>
      <c r="H354" s="101" t="s">
        <v>476</v>
      </c>
      <c r="I354" s="101" t="s">
        <v>477</v>
      </c>
      <c r="J354" s="101" t="s">
        <v>115</v>
      </c>
      <c r="K354" s="101" t="s">
        <v>116</v>
      </c>
      <c r="L354" s="101" t="s">
        <v>1565</v>
      </c>
      <c r="M354" s="101" t="n">
        <v>274</v>
      </c>
      <c r="N354" s="101" t="n">
        <v>6.71</v>
      </c>
      <c r="O354" s="101" t="n">
        <v>15.66</v>
      </c>
      <c r="P354" s="101" t="s">
        <v>113</v>
      </c>
      <c r="Q354" s="101" t="s">
        <v>113</v>
      </c>
      <c r="R354" s="101" t="s">
        <v>124</v>
      </c>
      <c r="S354" s="101" t="n">
        <v>3</v>
      </c>
      <c r="T354" s="101" t="s">
        <v>487</v>
      </c>
      <c r="U354" s="101" t="s">
        <v>124</v>
      </c>
      <c r="V354" s="101" t="n">
        <v>238.3</v>
      </c>
    </row>
    <row r="355" customFormat="false" ht="15" hidden="false" customHeight="true" outlineLevel="0" collapsed="false">
      <c r="A355" s="101" t="s">
        <v>1796</v>
      </c>
      <c r="B355" s="101" t="s">
        <v>1797</v>
      </c>
      <c r="C355" s="101" t="s">
        <v>1798</v>
      </c>
      <c r="D355" s="101" t="s">
        <v>1799</v>
      </c>
      <c r="E355" s="101" t="s">
        <v>483</v>
      </c>
      <c r="F355" s="101" t="s">
        <v>530</v>
      </c>
      <c r="G355" s="101" t="s">
        <v>516</v>
      </c>
      <c r="H355" s="101" t="s">
        <v>673</v>
      </c>
      <c r="I355" s="101" t="s">
        <v>645</v>
      </c>
      <c r="J355" s="101" t="s">
        <v>111</v>
      </c>
      <c r="K355" s="101" t="s">
        <v>116</v>
      </c>
      <c r="L355" s="101" t="s">
        <v>1800</v>
      </c>
      <c r="M355" s="101" t="n">
        <v>201</v>
      </c>
      <c r="N355" s="101" t="n">
        <v>3.11</v>
      </c>
      <c r="O355" s="101" t="n">
        <v>11.1</v>
      </c>
      <c r="P355" s="101" t="s">
        <v>113</v>
      </c>
      <c r="Q355" s="101" t="s">
        <v>113</v>
      </c>
      <c r="R355" s="101" t="s">
        <v>124</v>
      </c>
      <c r="S355" s="101" t="n">
        <v>3</v>
      </c>
      <c r="T355" s="101" t="s">
        <v>487</v>
      </c>
      <c r="U355" s="101" t="s">
        <v>124</v>
      </c>
      <c r="V355" s="101" t="n">
        <v>156.54</v>
      </c>
    </row>
    <row r="356" customFormat="false" ht="15" hidden="false" customHeight="true" outlineLevel="0" collapsed="false">
      <c r="A356" s="101" t="s">
        <v>1801</v>
      </c>
      <c r="B356" s="101" t="s">
        <v>1802</v>
      </c>
      <c r="C356" s="101" t="s">
        <v>1803</v>
      </c>
      <c r="D356" s="101" t="s">
        <v>1604</v>
      </c>
      <c r="E356" s="101" t="s">
        <v>507</v>
      </c>
      <c r="F356" s="101" t="s">
        <v>530</v>
      </c>
      <c r="G356" s="101" t="s">
        <v>516</v>
      </c>
      <c r="H356" s="101" t="s">
        <v>509</v>
      </c>
      <c r="I356" s="101" t="s">
        <v>345</v>
      </c>
      <c r="J356" s="101" t="s">
        <v>115</v>
      </c>
      <c r="K356" s="101" t="s">
        <v>199</v>
      </c>
      <c r="L356" s="101" t="s">
        <v>1164</v>
      </c>
      <c r="M356" s="101" t="n">
        <v>278</v>
      </c>
      <c r="N356" s="101" t="n">
        <v>2.73</v>
      </c>
      <c r="O356" s="101" t="n">
        <v>13.7</v>
      </c>
      <c r="P356" s="101" t="s">
        <v>113</v>
      </c>
      <c r="Q356" s="101" t="s">
        <v>113</v>
      </c>
      <c r="R356" s="101" t="s">
        <v>124</v>
      </c>
      <c r="S356" s="101" t="n">
        <v>3</v>
      </c>
      <c r="T356" s="101" t="s">
        <v>487</v>
      </c>
      <c r="U356" s="101" t="s">
        <v>124</v>
      </c>
      <c r="V356" s="101" t="n">
        <v>208.48</v>
      </c>
    </row>
    <row r="357" customFormat="false" ht="15" hidden="false" customHeight="true" outlineLevel="0" collapsed="false">
      <c r="A357" s="101" t="s">
        <v>1804</v>
      </c>
      <c r="B357" s="101" t="s">
        <v>1805</v>
      </c>
      <c r="C357" s="101" t="s">
        <v>1806</v>
      </c>
      <c r="D357" s="101" t="s">
        <v>963</v>
      </c>
      <c r="E357" s="101" t="s">
        <v>514</v>
      </c>
      <c r="F357" s="101" t="s">
        <v>474</v>
      </c>
      <c r="G357" s="101" t="s">
        <v>475</v>
      </c>
      <c r="H357" s="101" t="s">
        <v>476</v>
      </c>
      <c r="I357" s="101" t="s">
        <v>477</v>
      </c>
      <c r="J357" s="101" t="s">
        <v>115</v>
      </c>
      <c r="K357" s="101" t="s">
        <v>120</v>
      </c>
      <c r="L357" s="101" t="s">
        <v>851</v>
      </c>
      <c r="M357" s="101" t="n">
        <v>295</v>
      </c>
      <c r="N357" s="101" t="n">
        <v>11.96</v>
      </c>
      <c r="O357" s="101" t="n">
        <v>6.075</v>
      </c>
      <c r="P357" s="101" t="s">
        <v>113</v>
      </c>
      <c r="Q357" s="101" t="s">
        <v>113</v>
      </c>
      <c r="R357" s="101" t="s">
        <v>124</v>
      </c>
      <c r="S357" s="101" t="s">
        <v>486</v>
      </c>
      <c r="T357" s="101" t="s">
        <v>479</v>
      </c>
      <c r="U357" s="101" t="s">
        <v>124</v>
      </c>
      <c r="V357" s="101" t="n">
        <v>92.45</v>
      </c>
    </row>
    <row r="358" customFormat="false" ht="15" hidden="false" customHeight="true" outlineLevel="0" collapsed="false">
      <c r="A358" s="101" t="s">
        <v>1807</v>
      </c>
      <c r="B358" s="101" t="s">
        <v>1808</v>
      </c>
      <c r="C358" s="101" t="s">
        <v>1809</v>
      </c>
      <c r="D358" s="101" t="s">
        <v>1810</v>
      </c>
      <c r="E358" s="101" t="s">
        <v>514</v>
      </c>
      <c r="F358" s="101" t="s">
        <v>559</v>
      </c>
      <c r="G358" s="101" t="s">
        <v>560</v>
      </c>
      <c r="H358" s="101" t="s">
        <v>484</v>
      </c>
      <c r="I358" s="101" t="s">
        <v>345</v>
      </c>
      <c r="J358" s="101" t="s">
        <v>118</v>
      </c>
      <c r="K358" s="101" t="s">
        <v>112</v>
      </c>
      <c r="L358" s="101" t="s">
        <v>1617</v>
      </c>
      <c r="M358" s="101" t="n">
        <v>100</v>
      </c>
      <c r="N358" s="101" t="n">
        <v>7.88</v>
      </c>
      <c r="O358" s="101" t="n">
        <v>29.16</v>
      </c>
      <c r="P358" s="101" t="s">
        <v>113</v>
      </c>
      <c r="Q358" s="101" t="s">
        <v>113</v>
      </c>
      <c r="R358" s="101" t="s">
        <v>124</v>
      </c>
      <c r="S358" s="101" t="s">
        <v>486</v>
      </c>
      <c r="T358" s="101" t="s">
        <v>479</v>
      </c>
      <c r="U358" s="101" t="s">
        <v>124</v>
      </c>
      <c r="V358" s="101" t="n">
        <v>504.39</v>
      </c>
    </row>
    <row r="359" customFormat="false" ht="15" hidden="false" customHeight="true" outlineLevel="0" collapsed="false">
      <c r="A359" s="101" t="s">
        <v>1811</v>
      </c>
      <c r="B359" s="101" t="s">
        <v>1812</v>
      </c>
      <c r="C359" s="101" t="s">
        <v>1151</v>
      </c>
      <c r="D359" s="101" t="s">
        <v>1813</v>
      </c>
      <c r="E359" s="101" t="s">
        <v>491</v>
      </c>
      <c r="F359" s="101" t="s">
        <v>474</v>
      </c>
      <c r="G359" s="101" t="s">
        <v>475</v>
      </c>
      <c r="H359" s="101" t="s">
        <v>493</v>
      </c>
      <c r="I359" s="101" t="s">
        <v>494</v>
      </c>
      <c r="J359" s="101" t="s">
        <v>115</v>
      </c>
      <c r="K359" s="101" t="s">
        <v>112</v>
      </c>
      <c r="L359" s="101" t="s">
        <v>876</v>
      </c>
      <c r="M359" s="101" t="n">
        <v>168</v>
      </c>
      <c r="N359" s="101" t="n">
        <v>1.08</v>
      </c>
      <c r="O359" s="101" t="n">
        <v>11.05</v>
      </c>
      <c r="P359" s="101" t="s">
        <v>113</v>
      </c>
      <c r="Q359" s="101" t="s">
        <v>113</v>
      </c>
      <c r="R359" s="101" t="s">
        <v>124</v>
      </c>
      <c r="S359" s="101" t="n">
        <v>4</v>
      </c>
      <c r="T359" s="101" t="s">
        <v>479</v>
      </c>
      <c r="U359" s="101" t="s">
        <v>124</v>
      </c>
      <c r="V359" s="101" t="n">
        <v>168.15</v>
      </c>
    </row>
    <row r="360" customFormat="false" ht="15" hidden="false" customHeight="true" outlineLevel="0" collapsed="false">
      <c r="A360" s="101" t="s">
        <v>1814</v>
      </c>
      <c r="B360" s="101" t="s">
        <v>1815</v>
      </c>
      <c r="C360" s="101" t="s">
        <v>1816</v>
      </c>
      <c r="D360" s="101" t="s">
        <v>1817</v>
      </c>
      <c r="E360" s="101" t="s">
        <v>483</v>
      </c>
      <c r="F360" s="101" t="s">
        <v>515</v>
      </c>
      <c r="G360" s="101" t="s">
        <v>516</v>
      </c>
      <c r="H360" s="101" t="s">
        <v>509</v>
      </c>
      <c r="I360" s="101" t="s">
        <v>345</v>
      </c>
      <c r="J360" s="101" t="s">
        <v>118</v>
      </c>
      <c r="K360" s="101" t="s">
        <v>120</v>
      </c>
      <c r="L360" s="101" t="s">
        <v>964</v>
      </c>
      <c r="M360" s="101" t="n">
        <v>58</v>
      </c>
      <c r="N360" s="101" t="n">
        <v>1.56</v>
      </c>
      <c r="O360" s="101" t="n">
        <v>13.3</v>
      </c>
      <c r="P360" s="101" t="s">
        <v>113</v>
      </c>
      <c r="Q360" s="101" t="s">
        <v>113</v>
      </c>
      <c r="R360" s="101" t="s">
        <v>124</v>
      </c>
      <c r="S360" s="101" t="n">
        <v>3</v>
      </c>
      <c r="T360" s="101" t="s">
        <v>487</v>
      </c>
      <c r="U360" s="101" t="s">
        <v>124</v>
      </c>
      <c r="V360" s="101" t="n">
        <v>230.05</v>
      </c>
    </row>
    <row r="361" customFormat="false" ht="15" hidden="false" customHeight="true" outlineLevel="0" collapsed="false">
      <c r="A361" s="101" t="s">
        <v>1818</v>
      </c>
      <c r="B361" s="101" t="s">
        <v>1819</v>
      </c>
      <c r="C361" s="101" t="s">
        <v>1820</v>
      </c>
      <c r="D361" s="101" t="s">
        <v>1147</v>
      </c>
      <c r="E361" s="101" t="s">
        <v>473</v>
      </c>
      <c r="F361" s="101" t="s">
        <v>474</v>
      </c>
      <c r="G361" s="101" t="s">
        <v>475</v>
      </c>
      <c r="H361" s="101" t="s">
        <v>592</v>
      </c>
      <c r="I361" s="101" t="s">
        <v>593</v>
      </c>
      <c r="J361" s="101" t="s">
        <v>115</v>
      </c>
      <c r="K361" s="101" t="s">
        <v>199</v>
      </c>
      <c r="L361" s="101" t="s">
        <v>615</v>
      </c>
      <c r="M361" s="101" t="n">
        <v>187</v>
      </c>
      <c r="N361" s="101" t="n">
        <v>2.02</v>
      </c>
      <c r="O361" s="101" t="n">
        <v>9.1</v>
      </c>
      <c r="P361" s="101" t="s">
        <v>113</v>
      </c>
      <c r="Q361" s="101" t="s">
        <v>113</v>
      </c>
      <c r="R361" s="101" t="s">
        <v>124</v>
      </c>
      <c r="S361" s="101" t="n">
        <v>4</v>
      </c>
      <c r="T361" s="101" t="s">
        <v>479</v>
      </c>
      <c r="U361" s="101" t="s">
        <v>124</v>
      </c>
      <c r="V361" s="101" t="n">
        <v>138.48</v>
      </c>
    </row>
    <row r="362" customFormat="false" ht="15" hidden="false" customHeight="true" outlineLevel="0" collapsed="false">
      <c r="A362" s="101" t="s">
        <v>1821</v>
      </c>
      <c r="B362" s="101" t="s">
        <v>1822</v>
      </c>
      <c r="C362" s="101" t="s">
        <v>1823</v>
      </c>
      <c r="D362" s="101" t="s">
        <v>1824</v>
      </c>
      <c r="E362" s="101" t="s">
        <v>507</v>
      </c>
      <c r="F362" s="101" t="s">
        <v>474</v>
      </c>
      <c r="G362" s="101" t="s">
        <v>475</v>
      </c>
      <c r="H362" s="101" t="s">
        <v>561</v>
      </c>
      <c r="I362" s="101" t="s">
        <v>345</v>
      </c>
      <c r="J362" s="101" t="s">
        <v>118</v>
      </c>
      <c r="K362" s="101" t="s">
        <v>199</v>
      </c>
      <c r="L362" s="101" t="s">
        <v>1825</v>
      </c>
      <c r="M362" s="101" t="n">
        <v>62</v>
      </c>
      <c r="N362" s="101" t="n">
        <v>1.15</v>
      </c>
      <c r="O362" s="101" t="n">
        <v>12.4</v>
      </c>
      <c r="P362" s="101" t="s">
        <v>113</v>
      </c>
      <c r="Q362" s="101" t="s">
        <v>113</v>
      </c>
      <c r="R362" s="101" t="s">
        <v>124</v>
      </c>
      <c r="S362" s="101" t="s">
        <v>486</v>
      </c>
      <c r="T362" s="101" t="s">
        <v>479</v>
      </c>
      <c r="U362" s="101" t="s">
        <v>124</v>
      </c>
      <c r="V362" s="101" t="n">
        <v>214.49</v>
      </c>
    </row>
    <row r="363" customFormat="false" ht="15" hidden="false" customHeight="true" outlineLevel="0" collapsed="false">
      <c r="A363" s="101" t="s">
        <v>1826</v>
      </c>
      <c r="B363" s="101" t="s">
        <v>1827</v>
      </c>
      <c r="C363" s="101" t="s">
        <v>979</v>
      </c>
      <c r="D363" s="101" t="s">
        <v>1376</v>
      </c>
      <c r="E363" s="101" t="s">
        <v>483</v>
      </c>
      <c r="F363" s="101" t="s">
        <v>515</v>
      </c>
      <c r="G363" s="101" t="s">
        <v>516</v>
      </c>
      <c r="H363" s="101" t="s">
        <v>517</v>
      </c>
      <c r="I363" s="101" t="s">
        <v>345</v>
      </c>
      <c r="J363" s="101" t="s">
        <v>111</v>
      </c>
      <c r="K363" s="101" t="s">
        <v>120</v>
      </c>
      <c r="L363" s="101" t="s">
        <v>1573</v>
      </c>
      <c r="M363" s="101" t="n">
        <v>255</v>
      </c>
      <c r="N363" s="101" t="n">
        <v>2.48</v>
      </c>
      <c r="O363" s="101" t="n">
        <v>18.2</v>
      </c>
      <c r="P363" s="101" t="s">
        <v>113</v>
      </c>
      <c r="Q363" s="101" t="s">
        <v>113</v>
      </c>
      <c r="R363" s="101" t="s">
        <v>124</v>
      </c>
      <c r="S363" s="101" t="s">
        <v>486</v>
      </c>
      <c r="T363" s="101" t="s">
        <v>479</v>
      </c>
      <c r="U363" s="101" t="s">
        <v>124</v>
      </c>
      <c r="V363" s="101" t="n">
        <v>256.67</v>
      </c>
    </row>
    <row r="364" customFormat="false" ht="15" hidden="false" customHeight="true" outlineLevel="0" collapsed="false">
      <c r="A364" s="101" t="s">
        <v>1828</v>
      </c>
      <c r="B364" s="101" t="s">
        <v>1829</v>
      </c>
      <c r="C364" s="101" t="s">
        <v>836</v>
      </c>
      <c r="D364" s="101" t="s">
        <v>1260</v>
      </c>
      <c r="E364" s="101" t="s">
        <v>514</v>
      </c>
      <c r="F364" s="101" t="s">
        <v>566</v>
      </c>
      <c r="G364" s="101" t="s">
        <v>546</v>
      </c>
      <c r="H364" s="101" t="s">
        <v>561</v>
      </c>
      <c r="I364" s="101" t="s">
        <v>345</v>
      </c>
      <c r="J364" s="101" t="s">
        <v>118</v>
      </c>
      <c r="K364" s="101" t="s">
        <v>116</v>
      </c>
      <c r="L364" s="101" t="s">
        <v>808</v>
      </c>
      <c r="M364" s="101" t="n">
        <v>23</v>
      </c>
      <c r="N364" s="101" t="n">
        <v>1.92</v>
      </c>
      <c r="O364" s="101" t="n">
        <v>25.8</v>
      </c>
      <c r="P364" s="101" t="s">
        <v>113</v>
      </c>
      <c r="Q364" s="101" t="s">
        <v>113</v>
      </c>
      <c r="R364" s="101" t="s">
        <v>124</v>
      </c>
      <c r="S364" s="101" t="n">
        <v>5</v>
      </c>
      <c r="T364" s="101" t="s">
        <v>496</v>
      </c>
      <c r="U364" s="101" t="s">
        <v>124</v>
      </c>
      <c r="V364" s="101" t="n">
        <v>446.27</v>
      </c>
    </row>
    <row r="365" customFormat="false" ht="15" hidden="false" customHeight="true" outlineLevel="0" collapsed="false">
      <c r="A365" s="101" t="s">
        <v>1830</v>
      </c>
      <c r="B365" s="101" t="s">
        <v>1831</v>
      </c>
      <c r="C365" s="101" t="s">
        <v>824</v>
      </c>
      <c r="D365" s="101" t="s">
        <v>1824</v>
      </c>
      <c r="E365" s="101" t="s">
        <v>507</v>
      </c>
      <c r="F365" s="101" t="s">
        <v>566</v>
      </c>
      <c r="G365" s="101" t="s">
        <v>546</v>
      </c>
      <c r="H365" s="101" t="s">
        <v>484</v>
      </c>
      <c r="I365" s="101" t="s">
        <v>345</v>
      </c>
      <c r="J365" s="101" t="s">
        <v>111</v>
      </c>
      <c r="K365" s="101" t="s">
        <v>120</v>
      </c>
      <c r="L365" s="101" t="s">
        <v>812</v>
      </c>
      <c r="M365" s="101" t="n">
        <v>800</v>
      </c>
      <c r="N365" s="101" t="n">
        <v>5.24</v>
      </c>
      <c r="O365" s="101" t="n">
        <v>16.74</v>
      </c>
      <c r="P365" s="101" t="s">
        <v>113</v>
      </c>
      <c r="Q365" s="101" t="s">
        <v>124</v>
      </c>
      <c r="R365" s="101" t="s">
        <v>113</v>
      </c>
      <c r="S365" s="101" t="s">
        <v>486</v>
      </c>
      <c r="T365" s="101" t="s">
        <v>487</v>
      </c>
      <c r="U365" s="101" t="s">
        <v>124</v>
      </c>
      <c r="V365" s="101" t="n">
        <v>236.08</v>
      </c>
    </row>
    <row r="366" customFormat="false" ht="15" hidden="false" customHeight="true" outlineLevel="0" collapsed="false">
      <c r="A366" s="101" t="s">
        <v>1832</v>
      </c>
      <c r="B366" s="101" t="s">
        <v>1833</v>
      </c>
      <c r="C366" s="101" t="s">
        <v>1834</v>
      </c>
      <c r="D366" s="101" t="s">
        <v>761</v>
      </c>
      <c r="E366" s="101" t="s">
        <v>491</v>
      </c>
      <c r="F366" s="101" t="s">
        <v>508</v>
      </c>
      <c r="G366" s="101" t="s">
        <v>475</v>
      </c>
      <c r="H366" s="101" t="s">
        <v>561</v>
      </c>
      <c r="I366" s="101" t="s">
        <v>345</v>
      </c>
      <c r="J366" s="101" t="s">
        <v>115</v>
      </c>
      <c r="K366" s="101" t="s">
        <v>112</v>
      </c>
      <c r="L366" s="101" t="s">
        <v>685</v>
      </c>
      <c r="M366" s="101" t="n">
        <v>50</v>
      </c>
      <c r="N366" s="101" t="n">
        <v>3.42</v>
      </c>
      <c r="O366" s="101" t="n">
        <v>5.9</v>
      </c>
      <c r="P366" s="101" t="s">
        <v>113</v>
      </c>
      <c r="Q366" s="101" t="s">
        <v>124</v>
      </c>
      <c r="R366" s="101" t="s">
        <v>124</v>
      </c>
      <c r="S366" s="101" t="s">
        <v>486</v>
      </c>
      <c r="T366" s="101" t="s">
        <v>479</v>
      </c>
      <c r="U366" s="101" t="s">
        <v>124</v>
      </c>
      <c r="V366" s="101" t="n">
        <v>89.78</v>
      </c>
    </row>
    <row r="367" customFormat="false" ht="15" hidden="false" customHeight="true" outlineLevel="0" collapsed="false">
      <c r="A367" s="101" t="s">
        <v>1835</v>
      </c>
      <c r="B367" s="101" t="s">
        <v>1836</v>
      </c>
      <c r="C367" s="101" t="s">
        <v>1837</v>
      </c>
      <c r="D367" s="101" t="s">
        <v>1838</v>
      </c>
      <c r="E367" s="101" t="s">
        <v>539</v>
      </c>
      <c r="F367" s="101" t="s">
        <v>515</v>
      </c>
      <c r="G367" s="101" t="s">
        <v>516</v>
      </c>
      <c r="H367" s="101" t="s">
        <v>476</v>
      </c>
      <c r="I367" s="101" t="s">
        <v>477</v>
      </c>
      <c r="J367" s="101" t="s">
        <v>118</v>
      </c>
      <c r="K367" s="101" t="s">
        <v>120</v>
      </c>
      <c r="L367" s="101" t="s">
        <v>766</v>
      </c>
      <c r="M367" s="101" t="n">
        <v>106</v>
      </c>
      <c r="N367" s="101" t="n">
        <v>32.17</v>
      </c>
      <c r="O367" s="101" t="n">
        <v>41.985</v>
      </c>
      <c r="P367" s="101" t="s">
        <v>113</v>
      </c>
      <c r="Q367" s="101" t="s">
        <v>113</v>
      </c>
      <c r="R367" s="101" t="s">
        <v>124</v>
      </c>
      <c r="S367" s="101" t="n">
        <v>4</v>
      </c>
      <c r="T367" s="101" t="s">
        <v>479</v>
      </c>
      <c r="U367" s="101" t="s">
        <v>124</v>
      </c>
      <c r="V367" s="101" t="n">
        <v>726.23</v>
      </c>
    </row>
    <row r="368" customFormat="false" ht="15" hidden="false" customHeight="true" outlineLevel="0" collapsed="false">
      <c r="A368" s="101" t="s">
        <v>1839</v>
      </c>
      <c r="B368" s="101" t="s">
        <v>1840</v>
      </c>
      <c r="C368" s="101" t="s">
        <v>1841</v>
      </c>
      <c r="D368" s="101" t="s">
        <v>1428</v>
      </c>
      <c r="E368" s="101" t="s">
        <v>483</v>
      </c>
      <c r="F368" s="101" t="s">
        <v>559</v>
      </c>
      <c r="G368" s="101" t="s">
        <v>560</v>
      </c>
      <c r="H368" s="101" t="s">
        <v>673</v>
      </c>
      <c r="I368" s="101" t="s">
        <v>645</v>
      </c>
      <c r="J368" s="101" t="s">
        <v>111</v>
      </c>
      <c r="K368" s="101" t="s">
        <v>116</v>
      </c>
      <c r="L368" s="101" t="s">
        <v>1499</v>
      </c>
      <c r="M368" s="101" t="n">
        <v>802</v>
      </c>
      <c r="N368" s="101" t="n">
        <v>7.65</v>
      </c>
      <c r="O368" s="101" t="n">
        <v>9.8</v>
      </c>
      <c r="P368" s="101" t="s">
        <v>113</v>
      </c>
      <c r="Q368" s="101" t="s">
        <v>113</v>
      </c>
      <c r="R368" s="101" t="s">
        <v>124</v>
      </c>
      <c r="S368" s="101" t="n">
        <v>4</v>
      </c>
      <c r="T368" s="101" t="s">
        <v>479</v>
      </c>
      <c r="U368" s="101" t="s">
        <v>124</v>
      </c>
      <c r="V368" s="101" t="n">
        <v>138.21</v>
      </c>
    </row>
    <row r="369" customFormat="false" ht="15" hidden="false" customHeight="true" outlineLevel="0" collapsed="false">
      <c r="A369" s="101" t="s">
        <v>1842</v>
      </c>
      <c r="B369" s="101" t="s">
        <v>1843</v>
      </c>
      <c r="C369" s="101" t="s">
        <v>1844</v>
      </c>
      <c r="D369" s="102" t="n">
        <v>45840.5590277778</v>
      </c>
      <c r="E369" s="101" t="s">
        <v>473</v>
      </c>
      <c r="F369" s="101" t="s">
        <v>515</v>
      </c>
      <c r="G369" s="101" t="s">
        <v>516</v>
      </c>
      <c r="H369" s="101" t="s">
        <v>561</v>
      </c>
      <c r="I369" s="101" t="s">
        <v>345</v>
      </c>
      <c r="J369" s="101" t="s">
        <v>115</v>
      </c>
      <c r="K369" s="101" t="s">
        <v>120</v>
      </c>
      <c r="L369" s="101" t="s">
        <v>503</v>
      </c>
      <c r="M369" s="101" t="n">
        <v>196</v>
      </c>
      <c r="N369" s="101" t="n">
        <v>0.5</v>
      </c>
      <c r="O369" s="101" t="n">
        <v>9.6</v>
      </c>
      <c r="P369" s="101" t="s">
        <v>113</v>
      </c>
      <c r="Q369" s="101" t="s">
        <v>113</v>
      </c>
      <c r="R369" s="101" t="s">
        <v>124</v>
      </c>
      <c r="S369" s="101" t="n">
        <v>5</v>
      </c>
      <c r="T369" s="101" t="s">
        <v>496</v>
      </c>
      <c r="U369" s="101" t="s">
        <v>124</v>
      </c>
      <c r="V369" s="101" t="n">
        <v>146.09</v>
      </c>
    </row>
    <row r="370" customFormat="false" ht="15" hidden="false" customHeight="true" outlineLevel="0" collapsed="false">
      <c r="A370" s="101" t="s">
        <v>1845</v>
      </c>
      <c r="B370" s="101" t="s">
        <v>1846</v>
      </c>
      <c r="C370" s="101" t="s">
        <v>1847</v>
      </c>
      <c r="D370" s="101" t="s">
        <v>1848</v>
      </c>
      <c r="E370" s="101" t="s">
        <v>483</v>
      </c>
      <c r="F370" s="101" t="s">
        <v>559</v>
      </c>
      <c r="G370" s="101" t="s">
        <v>560</v>
      </c>
      <c r="H370" s="101" t="s">
        <v>493</v>
      </c>
      <c r="I370" s="101" t="s">
        <v>494</v>
      </c>
      <c r="J370" s="101" t="s">
        <v>118</v>
      </c>
      <c r="K370" s="101" t="s">
        <v>199</v>
      </c>
      <c r="L370" s="101" t="s">
        <v>526</v>
      </c>
      <c r="M370" s="101" t="n">
        <v>30</v>
      </c>
      <c r="N370" s="101" t="n">
        <v>4.95</v>
      </c>
      <c r="O370" s="101" t="n">
        <v>19.125</v>
      </c>
      <c r="P370" s="101" t="s">
        <v>113</v>
      </c>
      <c r="Q370" s="101" t="s">
        <v>113</v>
      </c>
      <c r="R370" s="101" t="s">
        <v>124</v>
      </c>
      <c r="S370" s="101" t="n">
        <v>2</v>
      </c>
      <c r="T370" s="101" t="s">
        <v>616</v>
      </c>
      <c r="U370" s="101" t="s">
        <v>124</v>
      </c>
      <c r="V370" s="101" t="n">
        <v>330.81</v>
      </c>
    </row>
    <row r="371" customFormat="false" ht="15" hidden="false" customHeight="true" outlineLevel="0" collapsed="false">
      <c r="A371" s="101" t="s">
        <v>1849</v>
      </c>
      <c r="B371" s="101" t="s">
        <v>1850</v>
      </c>
      <c r="C371" s="101" t="s">
        <v>1851</v>
      </c>
      <c r="D371" s="101" t="s">
        <v>794</v>
      </c>
      <c r="E371" s="101" t="s">
        <v>507</v>
      </c>
      <c r="F371" s="101" t="s">
        <v>545</v>
      </c>
      <c r="G371" s="101" t="s">
        <v>546</v>
      </c>
      <c r="H371" s="101" t="s">
        <v>592</v>
      </c>
      <c r="I371" s="101" t="s">
        <v>593</v>
      </c>
      <c r="J371" s="101" t="s">
        <v>118</v>
      </c>
      <c r="K371" s="101" t="s">
        <v>194</v>
      </c>
      <c r="L371" s="101" t="s">
        <v>1608</v>
      </c>
      <c r="M371" s="101" t="n">
        <v>90</v>
      </c>
      <c r="N371" s="101" t="n">
        <v>10.08</v>
      </c>
      <c r="O371" s="101" t="n">
        <v>5.7</v>
      </c>
      <c r="P371" s="101" t="s">
        <v>113</v>
      </c>
      <c r="Q371" s="101" t="s">
        <v>124</v>
      </c>
      <c r="R371" s="101" t="s">
        <v>124</v>
      </c>
      <c r="S371" s="101" t="n">
        <v>5</v>
      </c>
      <c r="T371" s="101" t="s">
        <v>496</v>
      </c>
      <c r="U371" s="101" t="s">
        <v>124</v>
      </c>
      <c r="V371" s="101" t="n">
        <v>98.59</v>
      </c>
    </row>
    <row r="372" customFormat="false" ht="15" hidden="false" customHeight="true" outlineLevel="0" collapsed="false">
      <c r="A372" s="101" t="s">
        <v>1852</v>
      </c>
      <c r="B372" s="101" t="s">
        <v>1853</v>
      </c>
      <c r="C372" s="101" t="s">
        <v>1854</v>
      </c>
      <c r="D372" s="101" t="s">
        <v>694</v>
      </c>
      <c r="E372" s="101" t="s">
        <v>507</v>
      </c>
      <c r="F372" s="101" t="s">
        <v>508</v>
      </c>
      <c r="G372" s="101" t="s">
        <v>475</v>
      </c>
      <c r="H372" s="101" t="s">
        <v>484</v>
      </c>
      <c r="I372" s="101" t="s">
        <v>345</v>
      </c>
      <c r="J372" s="101" t="s">
        <v>118</v>
      </c>
      <c r="K372" s="101" t="s">
        <v>116</v>
      </c>
      <c r="L372" s="101" t="s">
        <v>959</v>
      </c>
      <c r="M372" s="101" t="n">
        <v>46</v>
      </c>
      <c r="N372" s="101" t="n">
        <v>4.11</v>
      </c>
      <c r="O372" s="101" t="n">
        <v>10.125</v>
      </c>
      <c r="P372" s="101" t="s">
        <v>113</v>
      </c>
      <c r="Q372" s="101" t="s">
        <v>113</v>
      </c>
      <c r="R372" s="101" t="s">
        <v>124</v>
      </c>
      <c r="S372" s="101" t="n">
        <v>3</v>
      </c>
      <c r="T372" s="101" t="s">
        <v>487</v>
      </c>
      <c r="U372" s="101" t="s">
        <v>124</v>
      </c>
      <c r="V372" s="101" t="n">
        <v>175.14</v>
      </c>
    </row>
    <row r="373" customFormat="false" ht="15" hidden="false" customHeight="true" outlineLevel="0" collapsed="false">
      <c r="A373" s="101" t="s">
        <v>1855</v>
      </c>
      <c r="B373" s="101" t="s">
        <v>1856</v>
      </c>
      <c r="C373" s="101" t="s">
        <v>1771</v>
      </c>
      <c r="D373" s="101" t="s">
        <v>1857</v>
      </c>
      <c r="E373" s="101" t="s">
        <v>500</v>
      </c>
      <c r="F373" s="101" t="s">
        <v>530</v>
      </c>
      <c r="G373" s="101" t="s">
        <v>516</v>
      </c>
      <c r="H373" s="101" t="s">
        <v>493</v>
      </c>
      <c r="I373" s="101" t="s">
        <v>494</v>
      </c>
      <c r="J373" s="101" t="s">
        <v>118</v>
      </c>
      <c r="K373" s="101" t="s">
        <v>120</v>
      </c>
      <c r="L373" s="101" t="s">
        <v>571</v>
      </c>
      <c r="M373" s="101" t="n">
        <v>16</v>
      </c>
      <c r="N373" s="101" t="n">
        <v>1.28</v>
      </c>
      <c r="O373" s="101" t="n">
        <v>29.155</v>
      </c>
      <c r="P373" s="101" t="s">
        <v>113</v>
      </c>
      <c r="Q373" s="101" t="s">
        <v>124</v>
      </c>
      <c r="R373" s="101" t="s">
        <v>124</v>
      </c>
      <c r="S373" s="101" t="n">
        <v>4</v>
      </c>
      <c r="T373" s="101" t="s">
        <v>479</v>
      </c>
      <c r="U373" s="101" t="s">
        <v>124</v>
      </c>
      <c r="V373" s="101" t="n">
        <v>504.3</v>
      </c>
    </row>
    <row r="374" customFormat="false" ht="15" hidden="false" customHeight="true" outlineLevel="0" collapsed="false">
      <c r="A374" s="101" t="s">
        <v>1858</v>
      </c>
      <c r="B374" s="101" t="s">
        <v>1859</v>
      </c>
      <c r="C374" s="101" t="s">
        <v>1860</v>
      </c>
      <c r="D374" s="101" t="s">
        <v>1861</v>
      </c>
      <c r="E374" s="101" t="s">
        <v>507</v>
      </c>
      <c r="F374" s="101" t="s">
        <v>559</v>
      </c>
      <c r="G374" s="101" t="s">
        <v>560</v>
      </c>
      <c r="H374" s="101" t="s">
        <v>517</v>
      </c>
      <c r="I374" s="101" t="s">
        <v>345</v>
      </c>
      <c r="J374" s="101" t="s">
        <v>111</v>
      </c>
      <c r="K374" s="101" t="s">
        <v>199</v>
      </c>
      <c r="L374" s="101" t="s">
        <v>1862</v>
      </c>
      <c r="M374" s="101" t="n">
        <v>758</v>
      </c>
      <c r="N374" s="101" t="n">
        <v>3.44</v>
      </c>
      <c r="O374" s="101" t="n">
        <v>8.3</v>
      </c>
      <c r="P374" s="101" t="s">
        <v>113</v>
      </c>
      <c r="Q374" s="101" t="s">
        <v>113</v>
      </c>
      <c r="R374" s="101" t="s">
        <v>124</v>
      </c>
      <c r="S374" s="101" t="s">
        <v>486</v>
      </c>
      <c r="T374" s="101" t="s">
        <v>479</v>
      </c>
      <c r="U374" s="101" t="s">
        <v>124</v>
      </c>
      <c r="V374" s="101" t="n">
        <v>117.05</v>
      </c>
    </row>
    <row r="375" customFormat="false" ht="15" hidden="false" customHeight="true" outlineLevel="0" collapsed="false">
      <c r="A375" s="101" t="s">
        <v>1863</v>
      </c>
      <c r="B375" s="101" t="s">
        <v>1864</v>
      </c>
      <c r="C375" s="101" t="s">
        <v>1865</v>
      </c>
      <c r="D375" s="101" t="s">
        <v>1866</v>
      </c>
      <c r="E375" s="101" t="s">
        <v>473</v>
      </c>
      <c r="F375" s="101" t="s">
        <v>474</v>
      </c>
      <c r="G375" s="101" t="s">
        <v>475</v>
      </c>
      <c r="H375" s="101" t="s">
        <v>517</v>
      </c>
      <c r="I375" s="101" t="s">
        <v>345</v>
      </c>
      <c r="J375" s="101" t="s">
        <v>115</v>
      </c>
      <c r="K375" s="101" t="s">
        <v>120</v>
      </c>
      <c r="L375" s="101" t="s">
        <v>1237</v>
      </c>
      <c r="M375" s="101" t="n">
        <v>240</v>
      </c>
      <c r="N375" s="101" t="n">
        <v>0.6</v>
      </c>
      <c r="O375" s="101" t="n">
        <v>10.2</v>
      </c>
      <c r="P375" s="101" t="s">
        <v>113</v>
      </c>
      <c r="Q375" s="101" t="s">
        <v>124</v>
      </c>
      <c r="R375" s="101" t="s">
        <v>124</v>
      </c>
      <c r="S375" s="101" t="s">
        <v>486</v>
      </c>
      <c r="T375" s="101" t="s">
        <v>479</v>
      </c>
      <c r="U375" s="101" t="s">
        <v>124</v>
      </c>
      <c r="V375" s="101" t="n">
        <v>155.22</v>
      </c>
    </row>
    <row r="376" customFormat="false" ht="15" hidden="false" customHeight="true" outlineLevel="0" collapsed="false">
      <c r="A376" s="101" t="s">
        <v>1867</v>
      </c>
      <c r="B376" s="101" t="s">
        <v>1868</v>
      </c>
      <c r="C376" s="101" t="s">
        <v>1869</v>
      </c>
      <c r="D376" s="101" t="s">
        <v>574</v>
      </c>
      <c r="E376" s="101" t="s">
        <v>500</v>
      </c>
      <c r="F376" s="101" t="s">
        <v>492</v>
      </c>
      <c r="G376" s="101" t="s">
        <v>475</v>
      </c>
      <c r="H376" s="101" t="s">
        <v>673</v>
      </c>
      <c r="I376" s="101" t="s">
        <v>645</v>
      </c>
      <c r="J376" s="101" t="s">
        <v>123</v>
      </c>
      <c r="K376" s="101" t="s">
        <v>194</v>
      </c>
      <c r="L376" s="101" t="s">
        <v>984</v>
      </c>
      <c r="M376" s="101" t="n">
        <v>11752</v>
      </c>
      <c r="N376" s="101" t="n">
        <v>10.4</v>
      </c>
      <c r="O376" s="101" t="n">
        <v>11.3</v>
      </c>
      <c r="P376" s="101" t="s">
        <v>113</v>
      </c>
      <c r="Q376" s="101" t="s">
        <v>113</v>
      </c>
      <c r="R376" s="101" t="s">
        <v>124</v>
      </c>
      <c r="S376" s="101"/>
      <c r="T376" s="101" t="s">
        <v>479</v>
      </c>
      <c r="U376" s="101" t="s">
        <v>124</v>
      </c>
      <c r="V376" s="101" t="n">
        <v>84.75</v>
      </c>
    </row>
    <row r="377" customFormat="false" ht="15" hidden="false" customHeight="true" outlineLevel="0" collapsed="false">
      <c r="A377" s="101" t="s">
        <v>1870</v>
      </c>
      <c r="B377" s="101" t="s">
        <v>1871</v>
      </c>
      <c r="C377" s="101" t="s">
        <v>1872</v>
      </c>
      <c r="D377" s="102" t="n">
        <v>45846.4972222222</v>
      </c>
      <c r="E377" s="101" t="s">
        <v>507</v>
      </c>
      <c r="F377" s="101" t="s">
        <v>515</v>
      </c>
      <c r="G377" s="101" t="s">
        <v>516</v>
      </c>
      <c r="H377" s="101" t="s">
        <v>561</v>
      </c>
      <c r="I377" s="101" t="s">
        <v>345</v>
      </c>
      <c r="J377" s="101" t="s">
        <v>133</v>
      </c>
      <c r="K377" s="101"/>
      <c r="L377" s="101" t="s">
        <v>547</v>
      </c>
      <c r="M377" s="101" t="n">
        <v>21</v>
      </c>
      <c r="N377" s="101" t="n">
        <v>1.3</v>
      </c>
      <c r="O377" s="101" t="n">
        <v>2.1</v>
      </c>
      <c r="P377" s="101" t="s">
        <v>113</v>
      </c>
      <c r="Q377" s="101" t="s">
        <v>113</v>
      </c>
      <c r="R377" s="101" t="s">
        <v>124</v>
      </c>
      <c r="S377" s="101" t="s">
        <v>486</v>
      </c>
      <c r="T377" s="101" t="s">
        <v>496</v>
      </c>
      <c r="U377" s="101" t="s">
        <v>124</v>
      </c>
      <c r="V377" s="101" t="n">
        <v>10.08</v>
      </c>
    </row>
    <row r="378" customFormat="false" ht="15" hidden="false" customHeight="true" outlineLevel="0" collapsed="false">
      <c r="A378" s="101" t="s">
        <v>1873</v>
      </c>
      <c r="B378" s="101" t="s">
        <v>1874</v>
      </c>
      <c r="C378" s="101" t="s">
        <v>1875</v>
      </c>
      <c r="D378" s="101" t="s">
        <v>1357</v>
      </c>
      <c r="E378" s="101" t="s">
        <v>500</v>
      </c>
      <c r="F378" s="101" t="s">
        <v>530</v>
      </c>
      <c r="G378" s="101" t="s">
        <v>516</v>
      </c>
      <c r="H378" s="101" t="s">
        <v>644</v>
      </c>
      <c r="I378" s="101" t="s">
        <v>645</v>
      </c>
      <c r="J378" s="101" t="s">
        <v>115</v>
      </c>
      <c r="K378" s="101" t="s">
        <v>116</v>
      </c>
      <c r="L378" s="101" t="s">
        <v>522</v>
      </c>
      <c r="M378" s="101" t="n">
        <v>100</v>
      </c>
      <c r="N378" s="101" t="n">
        <v>0.61</v>
      </c>
      <c r="O378" s="101" t="n">
        <v>9.99</v>
      </c>
      <c r="P378" s="101" t="s">
        <v>113</v>
      </c>
      <c r="Q378" s="101" t="s">
        <v>124</v>
      </c>
      <c r="R378" s="101" t="s">
        <v>113</v>
      </c>
      <c r="S378" s="101" t="s">
        <v>486</v>
      </c>
      <c r="T378" s="101" t="s">
        <v>487</v>
      </c>
      <c r="U378" s="101" t="s">
        <v>124</v>
      </c>
      <c r="V378" s="101" t="n">
        <v>152.02</v>
      </c>
    </row>
    <row r="379" customFormat="false" ht="15" hidden="false" customHeight="true" outlineLevel="0" collapsed="false">
      <c r="A379" s="101" t="s">
        <v>1876</v>
      </c>
      <c r="B379" s="101" t="s">
        <v>1877</v>
      </c>
      <c r="C379" s="101" t="s">
        <v>1878</v>
      </c>
      <c r="D379" s="101" t="s">
        <v>1879</v>
      </c>
      <c r="E379" s="101" t="s">
        <v>539</v>
      </c>
      <c r="F379" s="101" t="s">
        <v>508</v>
      </c>
      <c r="G379" s="101" t="s">
        <v>475</v>
      </c>
      <c r="H379" s="101" t="s">
        <v>561</v>
      </c>
      <c r="I379" s="101" t="s">
        <v>345</v>
      </c>
      <c r="J379" s="101" t="s">
        <v>118</v>
      </c>
      <c r="K379" s="101" t="s">
        <v>120</v>
      </c>
      <c r="L379" s="101" t="s">
        <v>571</v>
      </c>
      <c r="M379" s="101" t="n">
        <v>43</v>
      </c>
      <c r="N379" s="101" t="n">
        <v>2.09</v>
      </c>
      <c r="O379" s="101" t="n">
        <v>15.5</v>
      </c>
      <c r="P379" s="101" t="s">
        <v>113</v>
      </c>
      <c r="Q379" s="101" t="s">
        <v>113</v>
      </c>
      <c r="R379" s="101" t="s">
        <v>124</v>
      </c>
      <c r="S379" s="101" t="n">
        <v>5</v>
      </c>
      <c r="T379" s="101" t="s">
        <v>496</v>
      </c>
      <c r="U379" s="101" t="s">
        <v>124</v>
      </c>
      <c r="V379" s="101" t="n">
        <v>268.11</v>
      </c>
    </row>
    <row r="380" customFormat="false" ht="15" hidden="false" customHeight="true" outlineLevel="0" collapsed="false">
      <c r="A380" s="101" t="s">
        <v>1880</v>
      </c>
      <c r="B380" s="101" t="s">
        <v>1881</v>
      </c>
      <c r="C380" s="101" t="s">
        <v>1490</v>
      </c>
      <c r="D380" s="101" t="s">
        <v>472</v>
      </c>
      <c r="E380" s="101" t="s">
        <v>473</v>
      </c>
      <c r="F380" s="101" t="s">
        <v>501</v>
      </c>
      <c r="G380" s="101" t="s">
        <v>502</v>
      </c>
      <c r="H380" s="101" t="s">
        <v>592</v>
      </c>
      <c r="I380" s="101" t="s">
        <v>593</v>
      </c>
      <c r="J380" s="101" t="s">
        <v>133</v>
      </c>
      <c r="K380" s="101"/>
      <c r="L380" s="101" t="s">
        <v>547</v>
      </c>
      <c r="M380" s="101" t="n">
        <v>25</v>
      </c>
      <c r="N380" s="101" t="n">
        <v>1.58</v>
      </c>
      <c r="O380" s="101" t="n">
        <v>2.3</v>
      </c>
      <c r="P380" s="101" t="s">
        <v>113</v>
      </c>
      <c r="Q380" s="101" t="s">
        <v>113</v>
      </c>
      <c r="R380" s="101" t="s">
        <v>124</v>
      </c>
      <c r="S380" s="101"/>
      <c r="T380" s="101" t="s">
        <v>496</v>
      </c>
      <c r="U380" s="101" t="s">
        <v>124</v>
      </c>
      <c r="V380" s="101" t="n">
        <v>11.04</v>
      </c>
    </row>
    <row r="381" customFormat="false" ht="15" hidden="false" customHeight="true" outlineLevel="0" collapsed="false">
      <c r="A381" s="101" t="s">
        <v>1882</v>
      </c>
      <c r="B381" s="101" t="s">
        <v>1883</v>
      </c>
      <c r="C381" s="101" t="s">
        <v>1841</v>
      </c>
      <c r="D381" s="101" t="s">
        <v>1386</v>
      </c>
      <c r="E381" s="101" t="s">
        <v>500</v>
      </c>
      <c r="F381" s="101" t="s">
        <v>566</v>
      </c>
      <c r="G381" s="101" t="s">
        <v>546</v>
      </c>
      <c r="H381" s="101" t="s">
        <v>509</v>
      </c>
      <c r="I381" s="101" t="s">
        <v>345</v>
      </c>
      <c r="J381" s="101" t="s">
        <v>111</v>
      </c>
      <c r="K381" s="101" t="s">
        <v>112</v>
      </c>
      <c r="L381" s="101" t="s">
        <v>495</v>
      </c>
      <c r="M381" s="101" t="n">
        <v>87</v>
      </c>
      <c r="N381" s="101" t="n">
        <v>2.89</v>
      </c>
      <c r="O381" s="101" t="n">
        <v>8.7</v>
      </c>
      <c r="P381" s="101" t="s">
        <v>113</v>
      </c>
      <c r="Q381" s="101" t="s">
        <v>113</v>
      </c>
      <c r="R381" s="101" t="s">
        <v>124</v>
      </c>
      <c r="S381" s="101" t="n">
        <v>5</v>
      </c>
      <c r="T381" s="101" t="s">
        <v>496</v>
      </c>
      <c r="U381" s="101" t="s">
        <v>124</v>
      </c>
      <c r="V381" s="101" t="n">
        <v>122.69</v>
      </c>
    </row>
    <row r="382" customFormat="false" ht="15" hidden="false" customHeight="true" outlineLevel="0" collapsed="false">
      <c r="A382" s="101" t="s">
        <v>1884</v>
      </c>
      <c r="B382" s="101" t="s">
        <v>1885</v>
      </c>
      <c r="C382" s="101" t="s">
        <v>976</v>
      </c>
      <c r="D382" s="101" t="s">
        <v>1662</v>
      </c>
      <c r="E382" s="101" t="s">
        <v>500</v>
      </c>
      <c r="F382" s="101" t="s">
        <v>559</v>
      </c>
      <c r="G382" s="101" t="s">
        <v>560</v>
      </c>
      <c r="H382" s="101" t="s">
        <v>484</v>
      </c>
      <c r="I382" s="101" t="s">
        <v>345</v>
      </c>
      <c r="J382" s="101" t="s">
        <v>133</v>
      </c>
      <c r="K382" s="101"/>
      <c r="L382" s="101" t="s">
        <v>547</v>
      </c>
      <c r="M382" s="101" t="n">
        <v>8</v>
      </c>
      <c r="N382" s="101" t="n">
        <v>5.9</v>
      </c>
      <c r="O382" s="101" t="n">
        <v>4.32</v>
      </c>
      <c r="P382" s="101" t="s">
        <v>113</v>
      </c>
      <c r="Q382" s="101" t="s">
        <v>113</v>
      </c>
      <c r="R382" s="101" t="s">
        <v>124</v>
      </c>
      <c r="S382" s="101" t="s">
        <v>486</v>
      </c>
      <c r="T382" s="101" t="s">
        <v>479</v>
      </c>
      <c r="U382" s="101" t="s">
        <v>124</v>
      </c>
      <c r="V382" s="101" t="n">
        <v>20.74</v>
      </c>
    </row>
    <row r="383" customFormat="false" ht="15" hidden="false" customHeight="true" outlineLevel="0" collapsed="false">
      <c r="A383" s="101" t="s">
        <v>1886</v>
      </c>
      <c r="B383" s="101" t="s">
        <v>1887</v>
      </c>
      <c r="C383" s="101" t="s">
        <v>1888</v>
      </c>
      <c r="D383" s="101" t="s">
        <v>1389</v>
      </c>
      <c r="E383" s="101" t="s">
        <v>500</v>
      </c>
      <c r="F383" s="101" t="s">
        <v>515</v>
      </c>
      <c r="G383" s="101" t="s">
        <v>516</v>
      </c>
      <c r="H383" s="101" t="s">
        <v>509</v>
      </c>
      <c r="I383" s="101" t="s">
        <v>345</v>
      </c>
      <c r="J383" s="101" t="s">
        <v>115</v>
      </c>
      <c r="K383" s="101" t="s">
        <v>116</v>
      </c>
      <c r="L383" s="101" t="s">
        <v>522</v>
      </c>
      <c r="M383" s="101" t="n">
        <v>279</v>
      </c>
      <c r="N383" s="101" t="n">
        <v>1.42</v>
      </c>
      <c r="O383" s="101" t="n">
        <v>4.9</v>
      </c>
      <c r="P383" s="101" t="s">
        <v>113</v>
      </c>
      <c r="Q383" s="101" t="s">
        <v>124</v>
      </c>
      <c r="R383" s="101" t="s">
        <v>124</v>
      </c>
      <c r="S383" s="101" t="n">
        <v>3</v>
      </c>
      <c r="T383" s="101" t="s">
        <v>487</v>
      </c>
      <c r="U383" s="101" t="s">
        <v>124</v>
      </c>
      <c r="V383" s="101" t="n">
        <v>74.57</v>
      </c>
    </row>
    <row r="384" customFormat="false" ht="15" hidden="false" customHeight="true" outlineLevel="0" collapsed="false">
      <c r="A384" s="101" t="s">
        <v>1889</v>
      </c>
      <c r="B384" s="101" t="s">
        <v>1890</v>
      </c>
      <c r="C384" s="101" t="s">
        <v>1891</v>
      </c>
      <c r="D384" s="101" t="s">
        <v>1892</v>
      </c>
      <c r="E384" s="101" t="s">
        <v>483</v>
      </c>
      <c r="F384" s="101" t="s">
        <v>508</v>
      </c>
      <c r="G384" s="101" t="s">
        <v>475</v>
      </c>
      <c r="H384" s="101" t="s">
        <v>517</v>
      </c>
      <c r="I384" s="101" t="s">
        <v>345</v>
      </c>
      <c r="J384" s="101" t="s">
        <v>118</v>
      </c>
      <c r="K384" s="101" t="s">
        <v>112</v>
      </c>
      <c r="L384" s="101" t="s">
        <v>695</v>
      </c>
      <c r="M384" s="101" t="n">
        <v>68</v>
      </c>
      <c r="N384" s="101" t="n">
        <v>0.73</v>
      </c>
      <c r="O384" s="101" t="n">
        <v>22.2</v>
      </c>
      <c r="P384" s="101" t="s">
        <v>113</v>
      </c>
      <c r="Q384" s="101" t="s">
        <v>124</v>
      </c>
      <c r="R384" s="101" t="s">
        <v>113</v>
      </c>
      <c r="S384" s="101" t="s">
        <v>486</v>
      </c>
      <c r="T384" s="101" t="s">
        <v>487</v>
      </c>
      <c r="U384" s="101" t="s">
        <v>124</v>
      </c>
      <c r="V384" s="101" t="n">
        <v>384</v>
      </c>
    </row>
    <row r="385" customFormat="false" ht="15" hidden="false" customHeight="true" outlineLevel="0" collapsed="false">
      <c r="A385" s="101" t="s">
        <v>1893</v>
      </c>
      <c r="B385" s="101" t="s">
        <v>1894</v>
      </c>
      <c r="C385" s="101" t="s">
        <v>1509</v>
      </c>
      <c r="D385" s="101" t="s">
        <v>1074</v>
      </c>
      <c r="E385" s="101" t="s">
        <v>514</v>
      </c>
      <c r="F385" s="101" t="s">
        <v>492</v>
      </c>
      <c r="G385" s="101" t="s">
        <v>475</v>
      </c>
      <c r="H385" s="101" t="s">
        <v>517</v>
      </c>
      <c r="I385" s="101" t="s">
        <v>345</v>
      </c>
      <c r="J385" s="101" t="s">
        <v>118</v>
      </c>
      <c r="K385" s="101" t="s">
        <v>120</v>
      </c>
      <c r="L385" s="101" t="s">
        <v>1168</v>
      </c>
      <c r="M385" s="101" t="n">
        <v>108</v>
      </c>
      <c r="N385" s="101" t="n">
        <v>0.67</v>
      </c>
      <c r="O385" s="101" t="n">
        <v>17.2</v>
      </c>
      <c r="P385" s="101" t="s">
        <v>113</v>
      </c>
      <c r="Q385" s="101" t="s">
        <v>113</v>
      </c>
      <c r="R385" s="101" t="s">
        <v>124</v>
      </c>
      <c r="S385" s="101" t="n">
        <v>5</v>
      </c>
      <c r="T385" s="101" t="s">
        <v>496</v>
      </c>
      <c r="U385" s="101" t="s">
        <v>124</v>
      </c>
      <c r="V385" s="101" t="n">
        <v>297.51</v>
      </c>
    </row>
    <row r="386" customFormat="false" ht="15" hidden="false" customHeight="true" outlineLevel="0" collapsed="false">
      <c r="A386" s="101" t="s">
        <v>1895</v>
      </c>
      <c r="B386" s="101" t="s">
        <v>1896</v>
      </c>
      <c r="C386" s="101" t="s">
        <v>1897</v>
      </c>
      <c r="D386" s="101" t="s">
        <v>1632</v>
      </c>
      <c r="E386" s="101" t="s">
        <v>500</v>
      </c>
      <c r="F386" s="101" t="s">
        <v>492</v>
      </c>
      <c r="G386" s="101" t="s">
        <v>475</v>
      </c>
      <c r="H386" s="101" t="s">
        <v>561</v>
      </c>
      <c r="I386" s="101" t="s">
        <v>345</v>
      </c>
      <c r="J386" s="101" t="s">
        <v>118</v>
      </c>
      <c r="K386" s="101" t="s">
        <v>116</v>
      </c>
      <c r="L386" s="101" t="s">
        <v>989</v>
      </c>
      <c r="M386" s="101" t="n">
        <v>80</v>
      </c>
      <c r="N386" s="101" t="n">
        <v>0.51</v>
      </c>
      <c r="O386" s="101" t="n">
        <v>20.2</v>
      </c>
      <c r="P386" s="101" t="s">
        <v>113</v>
      </c>
      <c r="Q386" s="101" t="s">
        <v>113</v>
      </c>
      <c r="R386" s="101" t="s">
        <v>124</v>
      </c>
      <c r="S386" s="101" t="n">
        <v>5</v>
      </c>
      <c r="T386" s="101" t="s">
        <v>496</v>
      </c>
      <c r="U386" s="101" t="s">
        <v>124</v>
      </c>
      <c r="V386" s="101" t="n">
        <v>349.41</v>
      </c>
    </row>
    <row r="387" customFormat="false" ht="15" hidden="false" customHeight="true" outlineLevel="0" collapsed="false">
      <c r="A387" s="101" t="s">
        <v>1898</v>
      </c>
      <c r="B387" s="101" t="s">
        <v>1899</v>
      </c>
      <c r="C387" s="101" t="s">
        <v>1900</v>
      </c>
      <c r="D387" s="101" t="s">
        <v>1817</v>
      </c>
      <c r="E387" s="101" t="s">
        <v>483</v>
      </c>
      <c r="F387" s="101" t="s">
        <v>515</v>
      </c>
      <c r="G387" s="101" t="s">
        <v>516</v>
      </c>
      <c r="H387" s="101" t="s">
        <v>517</v>
      </c>
      <c r="I387" s="101" t="s">
        <v>345</v>
      </c>
      <c r="J387" s="101" t="s">
        <v>118</v>
      </c>
      <c r="K387" s="101" t="s">
        <v>120</v>
      </c>
      <c r="L387" s="101" t="s">
        <v>733</v>
      </c>
      <c r="M387" s="101" t="n">
        <v>59</v>
      </c>
      <c r="N387" s="101" t="n">
        <v>9.89</v>
      </c>
      <c r="O387" s="101" t="n">
        <v>10.1</v>
      </c>
      <c r="P387" s="101" t="s">
        <v>113</v>
      </c>
      <c r="Q387" s="101" t="s">
        <v>113</v>
      </c>
      <c r="R387" s="101" t="s">
        <v>124</v>
      </c>
      <c r="S387" s="101" t="n">
        <v>5</v>
      </c>
      <c r="T387" s="101" t="s">
        <v>496</v>
      </c>
      <c r="U387" s="101" t="s">
        <v>124</v>
      </c>
      <c r="V387" s="101" t="n">
        <v>174.7</v>
      </c>
    </row>
    <row r="388" customFormat="false" ht="15" hidden="false" customHeight="true" outlineLevel="0" collapsed="false">
      <c r="A388" s="101" t="s">
        <v>1901</v>
      </c>
      <c r="B388" s="101" t="s">
        <v>1902</v>
      </c>
      <c r="C388" s="101" t="s">
        <v>1903</v>
      </c>
      <c r="D388" s="101" t="s">
        <v>482</v>
      </c>
      <c r="E388" s="101" t="s">
        <v>483</v>
      </c>
      <c r="F388" s="101" t="s">
        <v>492</v>
      </c>
      <c r="G388" s="101" t="s">
        <v>475</v>
      </c>
      <c r="H388" s="101" t="s">
        <v>561</v>
      </c>
      <c r="I388" s="101" t="s">
        <v>345</v>
      </c>
      <c r="J388" s="101" t="s">
        <v>118</v>
      </c>
      <c r="K388" s="101" t="s">
        <v>112</v>
      </c>
      <c r="L388" s="101" t="s">
        <v>1740</v>
      </c>
      <c r="M388" s="101" t="n">
        <v>28</v>
      </c>
      <c r="N388" s="101" t="n">
        <v>2.56</v>
      </c>
      <c r="O388" s="101" t="n">
        <v>37.1</v>
      </c>
      <c r="P388" s="101" t="s">
        <v>113</v>
      </c>
      <c r="Q388" s="101" t="s">
        <v>113</v>
      </c>
      <c r="R388" s="101" t="s">
        <v>124</v>
      </c>
      <c r="S388" s="101" t="n">
        <v>4</v>
      </c>
      <c r="T388" s="101" t="s">
        <v>479</v>
      </c>
      <c r="U388" s="101" t="s">
        <v>124</v>
      </c>
      <c r="V388" s="101" t="n">
        <v>641.73</v>
      </c>
    </row>
    <row r="389" customFormat="false" ht="15" hidden="false" customHeight="true" outlineLevel="0" collapsed="false">
      <c r="A389" s="101" t="s">
        <v>1904</v>
      </c>
      <c r="B389" s="101" t="s">
        <v>1905</v>
      </c>
      <c r="C389" s="101" t="s">
        <v>953</v>
      </c>
      <c r="D389" s="101" t="s">
        <v>1906</v>
      </c>
      <c r="E389" s="101" t="s">
        <v>514</v>
      </c>
      <c r="F389" s="101" t="s">
        <v>566</v>
      </c>
      <c r="G389" s="101" t="s">
        <v>546</v>
      </c>
      <c r="H389" s="101" t="s">
        <v>517</v>
      </c>
      <c r="I389" s="101" t="s">
        <v>345</v>
      </c>
      <c r="J389" s="101" t="s">
        <v>115</v>
      </c>
      <c r="K389" s="101" t="s">
        <v>116</v>
      </c>
      <c r="L389" s="101" t="s">
        <v>598</v>
      </c>
      <c r="M389" s="101" t="n">
        <v>193</v>
      </c>
      <c r="N389" s="101" t="n">
        <v>1.67</v>
      </c>
      <c r="O389" s="101" t="n">
        <v>15.1</v>
      </c>
      <c r="P389" s="101" t="s">
        <v>113</v>
      </c>
      <c r="Q389" s="101" t="s">
        <v>124</v>
      </c>
      <c r="R389" s="101" t="s">
        <v>124</v>
      </c>
      <c r="S389" s="101" t="n">
        <v>5</v>
      </c>
      <c r="T389" s="101" t="s">
        <v>496</v>
      </c>
      <c r="U389" s="101" t="s">
        <v>124</v>
      </c>
      <c r="V389" s="101" t="n">
        <v>229.78</v>
      </c>
    </row>
    <row r="390" customFormat="false" ht="15" hidden="false" customHeight="true" outlineLevel="0" collapsed="false">
      <c r="A390" s="101" t="s">
        <v>1907</v>
      </c>
      <c r="B390" s="101" t="s">
        <v>1908</v>
      </c>
      <c r="C390" s="101" t="s">
        <v>1909</v>
      </c>
      <c r="D390" s="101" t="s">
        <v>1428</v>
      </c>
      <c r="E390" s="101" t="s">
        <v>483</v>
      </c>
      <c r="F390" s="101" t="s">
        <v>492</v>
      </c>
      <c r="G390" s="101" t="s">
        <v>475</v>
      </c>
      <c r="H390" s="101" t="s">
        <v>644</v>
      </c>
      <c r="I390" s="101" t="s">
        <v>645</v>
      </c>
      <c r="J390" s="101" t="s">
        <v>111</v>
      </c>
      <c r="K390" s="101" t="s">
        <v>194</v>
      </c>
      <c r="L390" s="101" t="s">
        <v>1910</v>
      </c>
      <c r="M390" s="101" t="n">
        <v>827</v>
      </c>
      <c r="N390" s="101" t="n">
        <v>0.49</v>
      </c>
      <c r="O390" s="101" t="n">
        <v>9.855</v>
      </c>
      <c r="P390" s="101" t="s">
        <v>113</v>
      </c>
      <c r="Q390" s="101" t="s">
        <v>113</v>
      </c>
      <c r="R390" s="101" t="s">
        <v>124</v>
      </c>
      <c r="S390" s="101" t="n">
        <v>4</v>
      </c>
      <c r="T390" s="101" t="s">
        <v>479</v>
      </c>
      <c r="U390" s="101" t="s">
        <v>124</v>
      </c>
      <c r="V390" s="101" t="n">
        <v>138.98</v>
      </c>
    </row>
    <row r="391" customFormat="false" ht="15" hidden="false" customHeight="true" outlineLevel="0" collapsed="false">
      <c r="A391" s="101" t="s">
        <v>1911</v>
      </c>
      <c r="B391" s="101" t="s">
        <v>1912</v>
      </c>
      <c r="C391" s="101" t="s">
        <v>1913</v>
      </c>
      <c r="D391" s="102" t="n">
        <v>45923.6541666667</v>
      </c>
      <c r="E391" s="101" t="s">
        <v>507</v>
      </c>
      <c r="F391" s="101" t="s">
        <v>545</v>
      </c>
      <c r="G391" s="101" t="s">
        <v>546</v>
      </c>
      <c r="H391" s="101" t="s">
        <v>484</v>
      </c>
      <c r="I391" s="101" t="s">
        <v>345</v>
      </c>
      <c r="J391" s="101" t="s">
        <v>118</v>
      </c>
      <c r="K391" s="101" t="s">
        <v>120</v>
      </c>
      <c r="L391" s="101" t="s">
        <v>994</v>
      </c>
      <c r="M391" s="101" t="n">
        <v>110</v>
      </c>
      <c r="N391" s="101" t="n">
        <v>13.06</v>
      </c>
      <c r="O391" s="101" t="n">
        <v>17.82</v>
      </c>
      <c r="P391" s="101" t="s">
        <v>113</v>
      </c>
      <c r="Q391" s="101" t="s">
        <v>113</v>
      </c>
      <c r="R391" s="101" t="s">
        <v>124</v>
      </c>
      <c r="S391" s="101" t="n">
        <v>4</v>
      </c>
      <c r="T391" s="101" t="s">
        <v>479</v>
      </c>
      <c r="U391" s="101" t="s">
        <v>124</v>
      </c>
      <c r="V391" s="101" t="n">
        <v>308.24</v>
      </c>
    </row>
    <row r="392" customFormat="false" ht="15" hidden="false" customHeight="true" outlineLevel="0" collapsed="false">
      <c r="A392" s="101" t="s">
        <v>1914</v>
      </c>
      <c r="B392" s="101" t="s">
        <v>1915</v>
      </c>
      <c r="C392" s="101" t="s">
        <v>1916</v>
      </c>
      <c r="D392" s="101" t="s">
        <v>610</v>
      </c>
      <c r="E392" s="101" t="s">
        <v>473</v>
      </c>
      <c r="F392" s="101" t="s">
        <v>474</v>
      </c>
      <c r="G392" s="101" t="s">
        <v>475</v>
      </c>
      <c r="H392" s="101" t="s">
        <v>484</v>
      </c>
      <c r="I392" s="101" t="s">
        <v>345</v>
      </c>
      <c r="J392" s="101" t="s">
        <v>123</v>
      </c>
      <c r="K392" s="101" t="s">
        <v>120</v>
      </c>
      <c r="L392" s="101" t="s">
        <v>851</v>
      </c>
      <c r="M392" s="101" t="n">
        <v>24880</v>
      </c>
      <c r="N392" s="101" t="n">
        <v>3.75</v>
      </c>
      <c r="O392" s="101" t="n">
        <v>31.05</v>
      </c>
      <c r="P392" s="101" t="s">
        <v>124</v>
      </c>
      <c r="Q392" s="101" t="s">
        <v>113</v>
      </c>
      <c r="R392" s="101" t="s">
        <v>124</v>
      </c>
      <c r="S392" s="101" t="n">
        <v>4</v>
      </c>
      <c r="T392" s="101" t="s">
        <v>479</v>
      </c>
      <c r="U392" s="101" t="s">
        <v>124</v>
      </c>
      <c r="V392" s="101" t="n">
        <v>232.88</v>
      </c>
    </row>
    <row r="393" customFormat="false" ht="15" hidden="false" customHeight="true" outlineLevel="0" collapsed="false">
      <c r="A393" s="101" t="s">
        <v>1917</v>
      </c>
      <c r="B393" s="101" t="s">
        <v>1918</v>
      </c>
      <c r="C393" s="101" t="s">
        <v>1039</v>
      </c>
      <c r="D393" s="101" t="s">
        <v>1919</v>
      </c>
      <c r="E393" s="101" t="s">
        <v>539</v>
      </c>
      <c r="F393" s="101" t="s">
        <v>530</v>
      </c>
      <c r="G393" s="101" t="s">
        <v>516</v>
      </c>
      <c r="H393" s="101" t="s">
        <v>644</v>
      </c>
      <c r="I393" s="101" t="s">
        <v>645</v>
      </c>
      <c r="J393" s="101" t="s">
        <v>118</v>
      </c>
      <c r="K393" s="101" t="s">
        <v>120</v>
      </c>
      <c r="L393" s="101" t="s">
        <v>1116</v>
      </c>
      <c r="M393" s="101" t="n">
        <v>29</v>
      </c>
      <c r="N393" s="101" t="n">
        <v>1.23</v>
      </c>
      <c r="O393" s="101" t="n">
        <v>32.13</v>
      </c>
      <c r="P393" s="101" t="s">
        <v>113</v>
      </c>
      <c r="Q393" s="101" t="s">
        <v>113</v>
      </c>
      <c r="R393" s="101" t="s">
        <v>124</v>
      </c>
      <c r="S393" s="101" t="n">
        <v>3</v>
      </c>
      <c r="T393" s="101" t="s">
        <v>487</v>
      </c>
      <c r="U393" s="101" t="s">
        <v>124</v>
      </c>
      <c r="V393" s="101" t="n">
        <v>555.76</v>
      </c>
    </row>
    <row r="394" customFormat="false" ht="15" hidden="false" customHeight="true" outlineLevel="0" collapsed="false">
      <c r="A394" s="101" t="s">
        <v>1920</v>
      </c>
      <c r="B394" s="101" t="s">
        <v>1921</v>
      </c>
      <c r="C394" s="101" t="s">
        <v>1922</v>
      </c>
      <c r="D394" s="101" t="s">
        <v>1923</v>
      </c>
      <c r="E394" s="101" t="s">
        <v>539</v>
      </c>
      <c r="F394" s="101" t="s">
        <v>515</v>
      </c>
      <c r="G394" s="101" t="s">
        <v>516</v>
      </c>
      <c r="H394" s="101" t="s">
        <v>592</v>
      </c>
      <c r="I394" s="101" t="s">
        <v>593</v>
      </c>
      <c r="J394" s="101" t="s">
        <v>133</v>
      </c>
      <c r="K394" s="101"/>
      <c r="L394" s="101" t="s">
        <v>547</v>
      </c>
      <c r="M394" s="101" t="n">
        <v>12</v>
      </c>
      <c r="N394" s="101" t="n">
        <v>3.49</v>
      </c>
      <c r="O394" s="101" t="n">
        <v>1.8</v>
      </c>
      <c r="P394" s="101" t="s">
        <v>113</v>
      </c>
      <c r="Q394" s="101" t="s">
        <v>113</v>
      </c>
      <c r="R394" s="101" t="s">
        <v>124</v>
      </c>
      <c r="S394" s="101" t="s">
        <v>486</v>
      </c>
      <c r="T394" s="101" t="s">
        <v>496</v>
      </c>
      <c r="U394" s="101" t="s">
        <v>124</v>
      </c>
      <c r="V394" s="101" t="n">
        <v>8.64</v>
      </c>
    </row>
    <row r="395" customFormat="false" ht="15" hidden="false" customHeight="true" outlineLevel="0" collapsed="false">
      <c r="A395" s="101" t="s">
        <v>1924</v>
      </c>
      <c r="B395" s="101" t="s">
        <v>1925</v>
      </c>
      <c r="C395" s="101" t="s">
        <v>1926</v>
      </c>
      <c r="D395" s="101" t="s">
        <v>672</v>
      </c>
      <c r="E395" s="101" t="s">
        <v>491</v>
      </c>
      <c r="F395" s="101" t="s">
        <v>474</v>
      </c>
      <c r="G395" s="101" t="s">
        <v>475</v>
      </c>
      <c r="H395" s="101" t="s">
        <v>509</v>
      </c>
      <c r="I395" s="101" t="s">
        <v>345</v>
      </c>
      <c r="J395" s="101" t="s">
        <v>118</v>
      </c>
      <c r="K395" s="101" t="s">
        <v>112</v>
      </c>
      <c r="L395" s="101" t="s">
        <v>639</v>
      </c>
      <c r="M395" s="101" t="n">
        <v>44</v>
      </c>
      <c r="N395" s="101" t="n">
        <v>0.74</v>
      </c>
      <c r="O395" s="101" t="n">
        <v>22</v>
      </c>
      <c r="P395" s="101" t="s">
        <v>113</v>
      </c>
      <c r="Q395" s="101" t="s">
        <v>124</v>
      </c>
      <c r="R395" s="101" t="s">
        <v>113</v>
      </c>
      <c r="S395" s="101" t="n">
        <v>2</v>
      </c>
      <c r="T395" s="101" t="s">
        <v>616</v>
      </c>
      <c r="U395" s="101" t="s">
        <v>124</v>
      </c>
      <c r="V395" s="101" t="n">
        <v>380.54</v>
      </c>
    </row>
    <row r="396" customFormat="false" ht="15" hidden="false" customHeight="true" outlineLevel="0" collapsed="false">
      <c r="A396" s="101" t="s">
        <v>1927</v>
      </c>
      <c r="B396" s="101" t="s">
        <v>1928</v>
      </c>
      <c r="C396" s="101" t="s">
        <v>1929</v>
      </c>
      <c r="D396" s="101" t="s">
        <v>708</v>
      </c>
      <c r="E396" s="101" t="s">
        <v>500</v>
      </c>
      <c r="F396" s="101" t="s">
        <v>559</v>
      </c>
      <c r="G396" s="101" t="s">
        <v>560</v>
      </c>
      <c r="H396" s="101" t="s">
        <v>727</v>
      </c>
      <c r="I396" s="101" t="s">
        <v>645</v>
      </c>
      <c r="J396" s="101" t="s">
        <v>115</v>
      </c>
      <c r="K396" s="101" t="s">
        <v>120</v>
      </c>
      <c r="L396" s="101" t="s">
        <v>518</v>
      </c>
      <c r="M396" s="101" t="n">
        <v>64</v>
      </c>
      <c r="N396" s="101" t="n">
        <v>6.35</v>
      </c>
      <c r="O396" s="101" t="n">
        <v>24.1</v>
      </c>
      <c r="P396" s="101" t="s">
        <v>113</v>
      </c>
      <c r="Q396" s="101" t="s">
        <v>113</v>
      </c>
      <c r="R396" s="101" t="s">
        <v>124</v>
      </c>
      <c r="S396" s="101" t="n">
        <v>5</v>
      </c>
      <c r="T396" s="101" t="s">
        <v>496</v>
      </c>
      <c r="U396" s="101" t="s">
        <v>124</v>
      </c>
      <c r="V396" s="101" t="n">
        <v>366.74</v>
      </c>
    </row>
    <row r="397" customFormat="false" ht="15" hidden="false" customHeight="true" outlineLevel="0" collapsed="false">
      <c r="A397" s="101" t="s">
        <v>1930</v>
      </c>
      <c r="B397" s="101" t="s">
        <v>1931</v>
      </c>
      <c r="C397" s="101" t="s">
        <v>1932</v>
      </c>
      <c r="D397" s="101" t="s">
        <v>1070</v>
      </c>
      <c r="E397" s="101" t="s">
        <v>507</v>
      </c>
      <c r="F397" s="101" t="s">
        <v>740</v>
      </c>
      <c r="G397" s="101" t="s">
        <v>560</v>
      </c>
      <c r="H397" s="101" t="s">
        <v>517</v>
      </c>
      <c r="I397" s="101" t="s">
        <v>345</v>
      </c>
      <c r="J397" s="101" t="s">
        <v>115</v>
      </c>
      <c r="K397" s="101" t="s">
        <v>112</v>
      </c>
      <c r="L397" s="101" t="s">
        <v>1044</v>
      </c>
      <c r="M397" s="101" t="n">
        <v>116</v>
      </c>
      <c r="N397" s="101" t="n">
        <v>3.53</v>
      </c>
      <c r="O397" s="101" t="n">
        <v>7.6</v>
      </c>
      <c r="P397" s="101" t="s">
        <v>113</v>
      </c>
      <c r="Q397" s="101" t="s">
        <v>113</v>
      </c>
      <c r="R397" s="101" t="s">
        <v>124</v>
      </c>
      <c r="S397" s="101" t="s">
        <v>486</v>
      </c>
      <c r="T397" s="101" t="s">
        <v>496</v>
      </c>
      <c r="U397" s="101" t="s">
        <v>124</v>
      </c>
      <c r="V397" s="101" t="n">
        <v>115.65</v>
      </c>
    </row>
    <row r="398" customFormat="false" ht="15" hidden="false" customHeight="true" outlineLevel="0" collapsed="false">
      <c r="A398" s="101" t="s">
        <v>1933</v>
      </c>
      <c r="B398" s="101" t="s">
        <v>1934</v>
      </c>
      <c r="C398" s="101" t="s">
        <v>489</v>
      </c>
      <c r="D398" s="102" t="n">
        <v>45929.6215277778</v>
      </c>
      <c r="E398" s="101" t="s">
        <v>491</v>
      </c>
      <c r="F398" s="101" t="s">
        <v>566</v>
      </c>
      <c r="G398" s="101" t="s">
        <v>546</v>
      </c>
      <c r="H398" s="101" t="s">
        <v>561</v>
      </c>
      <c r="I398" s="101" t="s">
        <v>345</v>
      </c>
      <c r="J398" s="101" t="s">
        <v>118</v>
      </c>
      <c r="K398" s="101" t="s">
        <v>199</v>
      </c>
      <c r="L398" s="101" t="s">
        <v>1935</v>
      </c>
      <c r="M398" s="101" t="n">
        <v>91</v>
      </c>
      <c r="N398" s="101" t="n">
        <v>1.63</v>
      </c>
      <c r="O398" s="101" t="n">
        <v>18.6</v>
      </c>
      <c r="P398" s="101" t="s">
        <v>113</v>
      </c>
      <c r="Q398" s="101" t="s">
        <v>113</v>
      </c>
      <c r="R398" s="101" t="s">
        <v>124</v>
      </c>
      <c r="S398" s="101" t="s">
        <v>486</v>
      </c>
      <c r="T398" s="101" t="s">
        <v>496</v>
      </c>
      <c r="U398" s="101" t="s">
        <v>124</v>
      </c>
      <c r="V398" s="101" t="n">
        <v>321.73</v>
      </c>
    </row>
    <row r="399" customFormat="false" ht="15" hidden="false" customHeight="true" outlineLevel="0" collapsed="false">
      <c r="A399" s="101" t="s">
        <v>1936</v>
      </c>
      <c r="B399" s="101" t="s">
        <v>1937</v>
      </c>
      <c r="C399" s="101" t="s">
        <v>1938</v>
      </c>
      <c r="D399" s="101" t="s">
        <v>577</v>
      </c>
      <c r="E399" s="101" t="s">
        <v>500</v>
      </c>
      <c r="F399" s="101" t="s">
        <v>508</v>
      </c>
      <c r="G399" s="101" t="s">
        <v>475</v>
      </c>
      <c r="H399" s="101" t="s">
        <v>509</v>
      </c>
      <c r="I399" s="101" t="s">
        <v>345</v>
      </c>
      <c r="J399" s="101" t="s">
        <v>111</v>
      </c>
      <c r="K399" s="101" t="s">
        <v>112</v>
      </c>
      <c r="L399" s="101" t="s">
        <v>876</v>
      </c>
      <c r="M399" s="101" t="n">
        <v>70</v>
      </c>
      <c r="N399" s="101" t="n">
        <v>0.87</v>
      </c>
      <c r="O399" s="101" t="n">
        <v>5</v>
      </c>
      <c r="P399" s="101" t="s">
        <v>113</v>
      </c>
      <c r="Q399" s="101" t="s">
        <v>113</v>
      </c>
      <c r="R399" s="101" t="s">
        <v>124</v>
      </c>
      <c r="S399" s="101" t="n">
        <v>5</v>
      </c>
      <c r="T399" s="101" t="s">
        <v>496</v>
      </c>
      <c r="U399" s="101" t="s">
        <v>124</v>
      </c>
      <c r="V399" s="101" t="n">
        <v>70.51</v>
      </c>
    </row>
    <row r="400" customFormat="false" ht="15" hidden="false" customHeight="true" outlineLevel="0" collapsed="false">
      <c r="A400" s="101" t="s">
        <v>1939</v>
      </c>
      <c r="B400" s="101" t="s">
        <v>1940</v>
      </c>
      <c r="C400" s="101" t="s">
        <v>1941</v>
      </c>
      <c r="D400" s="101" t="s">
        <v>1632</v>
      </c>
      <c r="E400" s="101" t="s">
        <v>500</v>
      </c>
      <c r="F400" s="101" t="s">
        <v>559</v>
      </c>
      <c r="G400" s="101" t="s">
        <v>560</v>
      </c>
      <c r="H400" s="101" t="s">
        <v>673</v>
      </c>
      <c r="I400" s="101" t="s">
        <v>645</v>
      </c>
      <c r="J400" s="101" t="s">
        <v>118</v>
      </c>
      <c r="K400" s="101" t="s">
        <v>120</v>
      </c>
      <c r="L400" s="101" t="s">
        <v>704</v>
      </c>
      <c r="M400" s="101" t="n">
        <v>94</v>
      </c>
      <c r="N400" s="101" t="n">
        <v>9.76</v>
      </c>
      <c r="O400" s="101" t="n">
        <v>22.6</v>
      </c>
      <c r="P400" s="101" t="s">
        <v>113</v>
      </c>
      <c r="Q400" s="101" t="s">
        <v>113</v>
      </c>
      <c r="R400" s="101" t="s">
        <v>124</v>
      </c>
      <c r="S400" s="101" t="n">
        <v>5</v>
      </c>
      <c r="T400" s="101" t="s">
        <v>496</v>
      </c>
      <c r="U400" s="101" t="s">
        <v>124</v>
      </c>
      <c r="V400" s="101" t="n">
        <v>390.92</v>
      </c>
    </row>
    <row r="401" customFormat="false" ht="15" hidden="false" customHeight="true" outlineLevel="0" collapsed="false">
      <c r="A401" s="101" t="s">
        <v>1942</v>
      </c>
      <c r="B401" s="101" t="s">
        <v>1943</v>
      </c>
      <c r="C401" s="101" t="s">
        <v>1944</v>
      </c>
      <c r="D401" s="101" t="s">
        <v>1541</v>
      </c>
      <c r="E401" s="101" t="s">
        <v>483</v>
      </c>
      <c r="F401" s="101" t="s">
        <v>515</v>
      </c>
      <c r="G401" s="101" t="s">
        <v>516</v>
      </c>
      <c r="H401" s="101" t="s">
        <v>517</v>
      </c>
      <c r="I401" s="101" t="s">
        <v>345</v>
      </c>
      <c r="J401" s="101" t="s">
        <v>118</v>
      </c>
      <c r="K401" s="101" t="s">
        <v>120</v>
      </c>
      <c r="L401" s="101" t="s">
        <v>733</v>
      </c>
      <c r="M401" s="101" t="n">
        <v>90</v>
      </c>
      <c r="N401" s="101" t="n">
        <v>0.58</v>
      </c>
      <c r="O401" s="101" t="n">
        <v>14.8</v>
      </c>
      <c r="P401" s="101" t="s">
        <v>113</v>
      </c>
      <c r="Q401" s="101" t="s">
        <v>113</v>
      </c>
      <c r="R401" s="101" t="s">
        <v>124</v>
      </c>
      <c r="S401" s="101" t="n">
        <v>5</v>
      </c>
      <c r="T401" s="101" t="s">
        <v>496</v>
      </c>
      <c r="U401" s="101" t="s">
        <v>124</v>
      </c>
      <c r="V401" s="101" t="n">
        <v>256</v>
      </c>
    </row>
    <row r="402" customFormat="false" ht="15" hidden="false" customHeight="true" outlineLevel="0" collapsed="false">
      <c r="A402" s="101" t="s">
        <v>1945</v>
      </c>
      <c r="B402" s="101" t="s">
        <v>1946</v>
      </c>
      <c r="C402" s="101" t="s">
        <v>1069</v>
      </c>
      <c r="D402" s="101" t="s">
        <v>807</v>
      </c>
      <c r="E402" s="101" t="s">
        <v>514</v>
      </c>
      <c r="F402" s="101" t="s">
        <v>508</v>
      </c>
      <c r="G402" s="101" t="s">
        <v>475</v>
      </c>
      <c r="H402" s="101" t="s">
        <v>509</v>
      </c>
      <c r="I402" s="101" t="s">
        <v>345</v>
      </c>
      <c r="J402" s="101" t="s">
        <v>115</v>
      </c>
      <c r="K402" s="101" t="s">
        <v>112</v>
      </c>
      <c r="L402" s="101" t="s">
        <v>741</v>
      </c>
      <c r="M402" s="101" t="n">
        <v>254</v>
      </c>
      <c r="N402" s="101" t="n">
        <v>0.92</v>
      </c>
      <c r="O402" s="101" t="n">
        <v>8</v>
      </c>
      <c r="P402" s="101" t="s">
        <v>113</v>
      </c>
      <c r="Q402" s="101" t="s">
        <v>113</v>
      </c>
      <c r="R402" s="101" t="s">
        <v>124</v>
      </c>
      <c r="S402" s="101" t="n">
        <v>5</v>
      </c>
      <c r="T402" s="101" t="s">
        <v>496</v>
      </c>
      <c r="U402" s="101" t="s">
        <v>124</v>
      </c>
      <c r="V402" s="101" t="n">
        <v>121.74</v>
      </c>
    </row>
    <row r="403" customFormat="false" ht="15" hidden="false" customHeight="true" outlineLevel="0" collapsed="false">
      <c r="A403" s="101" t="s">
        <v>1947</v>
      </c>
      <c r="B403" s="101" t="s">
        <v>1948</v>
      </c>
      <c r="C403" s="101" t="s">
        <v>1949</v>
      </c>
      <c r="D403" s="101" t="s">
        <v>1604</v>
      </c>
      <c r="E403" s="101" t="s">
        <v>507</v>
      </c>
      <c r="F403" s="101" t="s">
        <v>530</v>
      </c>
      <c r="G403" s="101" t="s">
        <v>516</v>
      </c>
      <c r="H403" s="101" t="s">
        <v>509</v>
      </c>
      <c r="I403" s="101" t="s">
        <v>345</v>
      </c>
      <c r="J403" s="101" t="s">
        <v>123</v>
      </c>
      <c r="K403" s="101" t="s">
        <v>116</v>
      </c>
      <c r="L403" s="101" t="s">
        <v>594</v>
      </c>
      <c r="M403" s="101" t="n">
        <v>19828</v>
      </c>
      <c r="N403" s="101" t="n">
        <v>0.62</v>
      </c>
      <c r="O403" s="101" t="n">
        <v>27.1</v>
      </c>
      <c r="P403" s="101" t="s">
        <v>124</v>
      </c>
      <c r="Q403" s="101" t="s">
        <v>124</v>
      </c>
      <c r="R403" s="101" t="s">
        <v>113</v>
      </c>
      <c r="S403" s="101" t="n">
        <v>2</v>
      </c>
      <c r="T403" s="101" t="s">
        <v>616</v>
      </c>
      <c r="U403" s="101" t="s">
        <v>124</v>
      </c>
      <c r="V403" s="101" t="n">
        <v>203.25</v>
      </c>
    </row>
    <row r="404" customFormat="false" ht="15" hidden="false" customHeight="true" outlineLevel="0" collapsed="false">
      <c r="A404" s="101" t="s">
        <v>1950</v>
      </c>
      <c r="B404" s="101" t="s">
        <v>1951</v>
      </c>
      <c r="C404" s="101" t="s">
        <v>1952</v>
      </c>
      <c r="D404" s="101" t="s">
        <v>988</v>
      </c>
      <c r="E404" s="101" t="s">
        <v>507</v>
      </c>
      <c r="F404" s="101" t="s">
        <v>515</v>
      </c>
      <c r="G404" s="101" t="s">
        <v>516</v>
      </c>
      <c r="H404" s="101" t="s">
        <v>476</v>
      </c>
      <c r="I404" s="101" t="s">
        <v>477</v>
      </c>
      <c r="J404" s="101" t="s">
        <v>118</v>
      </c>
      <c r="K404" s="101" t="s">
        <v>120</v>
      </c>
      <c r="L404" s="101" t="s">
        <v>1433</v>
      </c>
      <c r="M404" s="101" t="n">
        <v>110</v>
      </c>
      <c r="N404" s="101" t="n">
        <v>9.65</v>
      </c>
      <c r="O404" s="101" t="n">
        <v>22.005</v>
      </c>
      <c r="P404" s="101" t="s">
        <v>113</v>
      </c>
      <c r="Q404" s="101" t="s">
        <v>113</v>
      </c>
      <c r="R404" s="101" t="s">
        <v>124</v>
      </c>
      <c r="S404" s="101" t="n">
        <v>4</v>
      </c>
      <c r="T404" s="101" t="s">
        <v>479</v>
      </c>
      <c r="U404" s="101" t="s">
        <v>124</v>
      </c>
      <c r="V404" s="101" t="n">
        <v>380.63</v>
      </c>
    </row>
    <row r="405" customFormat="false" ht="15" hidden="false" customHeight="true" outlineLevel="0" collapsed="false">
      <c r="A405" s="101" t="s">
        <v>1953</v>
      </c>
      <c r="B405" s="101" t="s">
        <v>1954</v>
      </c>
      <c r="C405" s="101" t="s">
        <v>1955</v>
      </c>
      <c r="D405" s="101" t="s">
        <v>1726</v>
      </c>
      <c r="E405" s="101" t="s">
        <v>483</v>
      </c>
      <c r="F405" s="101" t="s">
        <v>530</v>
      </c>
      <c r="G405" s="101" t="s">
        <v>516</v>
      </c>
      <c r="H405" s="101" t="s">
        <v>484</v>
      </c>
      <c r="I405" s="101" t="s">
        <v>345</v>
      </c>
      <c r="J405" s="101" t="s">
        <v>123</v>
      </c>
      <c r="K405" s="101" t="s">
        <v>199</v>
      </c>
      <c r="L405" s="101" t="s">
        <v>1956</v>
      </c>
      <c r="M405" s="101" t="n">
        <v>21127</v>
      </c>
      <c r="N405" s="101" t="n">
        <v>35.1</v>
      </c>
      <c r="O405" s="101" t="n">
        <v>27.135</v>
      </c>
      <c r="P405" s="101" t="s">
        <v>124</v>
      </c>
      <c r="Q405" s="101" t="s">
        <v>113</v>
      </c>
      <c r="R405" s="101" t="s">
        <v>124</v>
      </c>
      <c r="S405" s="101" t="n">
        <v>4</v>
      </c>
      <c r="T405" s="101" t="s">
        <v>479</v>
      </c>
      <c r="U405" s="101" t="s">
        <v>124</v>
      </c>
      <c r="V405" s="101" t="n">
        <v>203.51</v>
      </c>
    </row>
    <row r="406" customFormat="false" ht="15" hidden="false" customHeight="true" outlineLevel="0" collapsed="false">
      <c r="A406" s="101" t="s">
        <v>1957</v>
      </c>
      <c r="B406" s="101" t="s">
        <v>1958</v>
      </c>
      <c r="C406" s="101" t="s">
        <v>1959</v>
      </c>
      <c r="D406" s="101" t="s">
        <v>634</v>
      </c>
      <c r="E406" s="101" t="s">
        <v>514</v>
      </c>
      <c r="F406" s="101" t="s">
        <v>492</v>
      </c>
      <c r="G406" s="101" t="s">
        <v>475</v>
      </c>
      <c r="H406" s="101" t="s">
        <v>540</v>
      </c>
      <c r="I406" s="101" t="s">
        <v>477</v>
      </c>
      <c r="J406" s="101" t="s">
        <v>111</v>
      </c>
      <c r="K406" s="101" t="s">
        <v>120</v>
      </c>
      <c r="L406" s="101" t="s">
        <v>1261</v>
      </c>
      <c r="M406" s="101" t="n">
        <v>276</v>
      </c>
      <c r="N406" s="101" t="n">
        <v>21.33</v>
      </c>
      <c r="O406" s="101" t="n">
        <v>4.8</v>
      </c>
      <c r="P406" s="101" t="s">
        <v>113</v>
      </c>
      <c r="Q406" s="101" t="s">
        <v>113</v>
      </c>
      <c r="R406" s="101" t="s">
        <v>124</v>
      </c>
      <c r="S406" s="101" t="n">
        <v>5</v>
      </c>
      <c r="T406" s="101" t="s">
        <v>496</v>
      </c>
      <c r="U406" s="101" t="s">
        <v>124</v>
      </c>
      <c r="V406" s="101" t="n">
        <v>67.69</v>
      </c>
    </row>
    <row r="407" customFormat="false" ht="15" hidden="false" customHeight="true" outlineLevel="0" collapsed="false">
      <c r="A407" s="101" t="s">
        <v>1960</v>
      </c>
      <c r="B407" s="101" t="s">
        <v>1961</v>
      </c>
      <c r="C407" s="101" t="s">
        <v>1962</v>
      </c>
      <c r="D407" s="101" t="s">
        <v>859</v>
      </c>
      <c r="E407" s="101" t="s">
        <v>483</v>
      </c>
      <c r="F407" s="101" t="s">
        <v>566</v>
      </c>
      <c r="G407" s="101" t="s">
        <v>546</v>
      </c>
      <c r="H407" s="101" t="s">
        <v>509</v>
      </c>
      <c r="I407" s="101" t="s">
        <v>345</v>
      </c>
      <c r="J407" s="101" t="s">
        <v>133</v>
      </c>
      <c r="K407" s="101"/>
      <c r="L407" s="101" t="s">
        <v>547</v>
      </c>
      <c r="M407" s="101" t="n">
        <v>6</v>
      </c>
      <c r="N407" s="101" t="n">
        <v>1.8</v>
      </c>
      <c r="O407" s="101" t="n">
        <v>4.8</v>
      </c>
      <c r="P407" s="101" t="s">
        <v>113</v>
      </c>
      <c r="Q407" s="101" t="s">
        <v>113</v>
      </c>
      <c r="R407" s="101" t="s">
        <v>124</v>
      </c>
      <c r="S407" s="101" t="s">
        <v>486</v>
      </c>
      <c r="T407" s="101" t="s">
        <v>479</v>
      </c>
      <c r="U407" s="101" t="s">
        <v>124</v>
      </c>
      <c r="V407" s="101" t="n">
        <v>23.04</v>
      </c>
    </row>
    <row r="408" customFormat="false" ht="15" hidden="false" customHeight="true" outlineLevel="0" collapsed="false">
      <c r="A408" s="101" t="s">
        <v>1963</v>
      </c>
      <c r="B408" s="101" t="s">
        <v>1964</v>
      </c>
      <c r="C408" s="101" t="s">
        <v>1402</v>
      </c>
      <c r="D408" s="101" t="s">
        <v>1726</v>
      </c>
      <c r="E408" s="101" t="s">
        <v>483</v>
      </c>
      <c r="F408" s="101" t="s">
        <v>740</v>
      </c>
      <c r="G408" s="101" t="s">
        <v>560</v>
      </c>
      <c r="H408" s="101" t="s">
        <v>509</v>
      </c>
      <c r="I408" s="101" t="s">
        <v>345</v>
      </c>
      <c r="J408" s="101" t="s">
        <v>115</v>
      </c>
      <c r="K408" s="101" t="s">
        <v>120</v>
      </c>
      <c r="L408" s="101" t="s">
        <v>964</v>
      </c>
      <c r="M408" s="101" t="n">
        <v>292</v>
      </c>
      <c r="N408" s="101" t="n">
        <v>0.32</v>
      </c>
      <c r="O408" s="101" t="n">
        <v>9.3</v>
      </c>
      <c r="P408" s="101" t="s">
        <v>113</v>
      </c>
      <c r="Q408" s="101" t="s">
        <v>113</v>
      </c>
      <c r="R408" s="101" t="s">
        <v>124</v>
      </c>
      <c r="S408" s="101" t="n">
        <v>4</v>
      </c>
      <c r="T408" s="101" t="s">
        <v>479</v>
      </c>
      <c r="U408" s="101" t="s">
        <v>124</v>
      </c>
      <c r="V408" s="101" t="n">
        <v>141.52</v>
      </c>
    </row>
    <row r="409" customFormat="false" ht="15" hidden="false" customHeight="true" outlineLevel="0" collapsed="false">
      <c r="A409" s="101" t="s">
        <v>1965</v>
      </c>
      <c r="B409" s="101" t="s">
        <v>1966</v>
      </c>
      <c r="C409" s="101" t="s">
        <v>1967</v>
      </c>
      <c r="D409" s="101" t="s">
        <v>988</v>
      </c>
      <c r="E409" s="101" t="s">
        <v>507</v>
      </c>
      <c r="F409" s="101" t="s">
        <v>474</v>
      </c>
      <c r="G409" s="101" t="s">
        <v>475</v>
      </c>
      <c r="H409" s="101" t="s">
        <v>517</v>
      </c>
      <c r="I409" s="101" t="s">
        <v>345</v>
      </c>
      <c r="J409" s="101" t="s">
        <v>123</v>
      </c>
      <c r="K409" s="101" t="s">
        <v>116</v>
      </c>
      <c r="L409" s="101" t="s">
        <v>1499</v>
      </c>
      <c r="M409" s="101" t="n">
        <v>12758</v>
      </c>
      <c r="N409" s="101" t="n">
        <v>0.51</v>
      </c>
      <c r="O409" s="101" t="n">
        <v>25.6</v>
      </c>
      <c r="P409" s="101" t="s">
        <v>113</v>
      </c>
      <c r="Q409" s="101" t="s">
        <v>113</v>
      </c>
      <c r="R409" s="101" t="s">
        <v>124</v>
      </c>
      <c r="S409" s="101" t="n">
        <v>5</v>
      </c>
      <c r="T409" s="101" t="s">
        <v>496</v>
      </c>
      <c r="U409" s="101" t="s">
        <v>124</v>
      </c>
      <c r="V409" s="101" t="n">
        <v>192</v>
      </c>
    </row>
    <row r="410" customFormat="false" ht="15" hidden="false" customHeight="true" outlineLevel="0" collapsed="false">
      <c r="A410" s="101" t="s">
        <v>1968</v>
      </c>
      <c r="B410" s="101" t="s">
        <v>1969</v>
      </c>
      <c r="C410" s="101" t="s">
        <v>1970</v>
      </c>
      <c r="D410" s="101" t="s">
        <v>525</v>
      </c>
      <c r="E410" s="101" t="s">
        <v>514</v>
      </c>
      <c r="F410" s="101" t="s">
        <v>492</v>
      </c>
      <c r="G410" s="101" t="s">
        <v>475</v>
      </c>
      <c r="H410" s="101" t="s">
        <v>561</v>
      </c>
      <c r="I410" s="101" t="s">
        <v>345</v>
      </c>
      <c r="J410" s="101" t="s">
        <v>118</v>
      </c>
      <c r="K410" s="101" t="s">
        <v>120</v>
      </c>
      <c r="L410" s="101" t="s">
        <v>1590</v>
      </c>
      <c r="M410" s="101" t="n">
        <v>48</v>
      </c>
      <c r="N410" s="101" t="n">
        <v>0.51</v>
      </c>
      <c r="O410" s="101" t="n">
        <v>12.9</v>
      </c>
      <c r="P410" s="101" t="s">
        <v>113</v>
      </c>
      <c r="Q410" s="101" t="s">
        <v>124</v>
      </c>
      <c r="R410" s="101" t="s">
        <v>124</v>
      </c>
      <c r="S410" s="101"/>
      <c r="T410" s="101" t="s">
        <v>479</v>
      </c>
      <c r="U410" s="101" t="s">
        <v>124</v>
      </c>
      <c r="V410" s="101" t="n">
        <v>223.14</v>
      </c>
    </row>
    <row r="411" customFormat="false" ht="15" hidden="false" customHeight="true" outlineLevel="0" collapsed="false">
      <c r="A411" s="101" t="s">
        <v>1971</v>
      </c>
      <c r="B411" s="101" t="s">
        <v>1972</v>
      </c>
      <c r="C411" s="101" t="s">
        <v>1973</v>
      </c>
      <c r="D411" s="101" t="s">
        <v>930</v>
      </c>
      <c r="E411" s="101" t="s">
        <v>514</v>
      </c>
      <c r="F411" s="101" t="s">
        <v>559</v>
      </c>
      <c r="G411" s="101" t="s">
        <v>560</v>
      </c>
      <c r="H411" s="101" t="s">
        <v>540</v>
      </c>
      <c r="I411" s="101" t="s">
        <v>477</v>
      </c>
      <c r="J411" s="101" t="s">
        <v>123</v>
      </c>
      <c r="K411" s="101" t="s">
        <v>112</v>
      </c>
      <c r="L411" s="101" t="s">
        <v>478</v>
      </c>
      <c r="M411" s="101" t="n">
        <v>2202</v>
      </c>
      <c r="N411" s="101" t="n">
        <v>22.22</v>
      </c>
      <c r="O411" s="101" t="n">
        <v>24.5</v>
      </c>
      <c r="P411" s="101" t="s">
        <v>113</v>
      </c>
      <c r="Q411" s="101" t="s">
        <v>124</v>
      </c>
      <c r="R411" s="101" t="s">
        <v>124</v>
      </c>
      <c r="S411" s="101"/>
      <c r="T411" s="101" t="s">
        <v>487</v>
      </c>
      <c r="U411" s="101" t="s">
        <v>124</v>
      </c>
      <c r="V411" s="101" t="n">
        <v>183.75</v>
      </c>
    </row>
    <row r="412" customFormat="false" ht="15" hidden="false" customHeight="true" outlineLevel="0" collapsed="false">
      <c r="A412" s="101" t="s">
        <v>1974</v>
      </c>
      <c r="B412" s="101" t="s">
        <v>1975</v>
      </c>
      <c r="C412" s="101" t="s">
        <v>1976</v>
      </c>
      <c r="D412" s="101" t="s">
        <v>577</v>
      </c>
      <c r="E412" s="101" t="s">
        <v>500</v>
      </c>
      <c r="F412" s="101" t="s">
        <v>559</v>
      </c>
      <c r="G412" s="101" t="s">
        <v>560</v>
      </c>
      <c r="H412" s="101" t="s">
        <v>540</v>
      </c>
      <c r="I412" s="101" t="s">
        <v>477</v>
      </c>
      <c r="J412" s="101" t="s">
        <v>115</v>
      </c>
      <c r="K412" s="101" t="s">
        <v>120</v>
      </c>
      <c r="L412" s="101" t="s">
        <v>503</v>
      </c>
      <c r="M412" s="101" t="n">
        <v>252</v>
      </c>
      <c r="N412" s="101" t="n">
        <v>16.81</v>
      </c>
      <c r="O412" s="101" t="n">
        <v>8.2</v>
      </c>
      <c r="P412" s="101" t="s">
        <v>113</v>
      </c>
      <c r="Q412" s="101" t="s">
        <v>113</v>
      </c>
      <c r="R412" s="101" t="s">
        <v>124</v>
      </c>
      <c r="S412" s="101" t="n">
        <v>5</v>
      </c>
      <c r="T412" s="101" t="s">
        <v>496</v>
      </c>
      <c r="U412" s="101" t="s">
        <v>124</v>
      </c>
      <c r="V412" s="101" t="n">
        <v>124.78</v>
      </c>
    </row>
    <row r="413" customFormat="false" ht="15" hidden="false" customHeight="true" outlineLevel="0" collapsed="false">
      <c r="A413" s="101" t="s">
        <v>1977</v>
      </c>
      <c r="B413" s="101" t="s">
        <v>1324</v>
      </c>
      <c r="C413" s="101" t="s">
        <v>1325</v>
      </c>
      <c r="D413" s="101" t="s">
        <v>1386</v>
      </c>
      <c r="E413" s="101" t="s">
        <v>500</v>
      </c>
      <c r="F413" s="101" t="s">
        <v>474</v>
      </c>
      <c r="G413" s="101" t="s">
        <v>475</v>
      </c>
      <c r="H413" s="101" t="s">
        <v>561</v>
      </c>
      <c r="I413" s="101" t="s">
        <v>345</v>
      </c>
      <c r="J413" s="101" t="s">
        <v>118</v>
      </c>
      <c r="K413" s="101" t="s">
        <v>120</v>
      </c>
      <c r="L413" s="101" t="s">
        <v>1353</v>
      </c>
      <c r="M413" s="101" t="n">
        <v>78</v>
      </c>
      <c r="N413" s="101" t="n">
        <v>2.7</v>
      </c>
      <c r="O413" s="101" t="n">
        <v>18.5</v>
      </c>
      <c r="P413" s="101" t="s">
        <v>113</v>
      </c>
      <c r="Q413" s="101" t="s">
        <v>113</v>
      </c>
      <c r="R413" s="101" t="s">
        <v>124</v>
      </c>
      <c r="S413" s="101" t="n">
        <v>4</v>
      </c>
      <c r="T413" s="101" t="s">
        <v>479</v>
      </c>
      <c r="U413" s="101" t="s">
        <v>124</v>
      </c>
      <c r="V413" s="101" t="n">
        <v>320</v>
      </c>
    </row>
    <row r="414" customFormat="false" ht="15" hidden="false" customHeight="true" outlineLevel="0" collapsed="false">
      <c r="A414" s="101" t="s">
        <v>1978</v>
      </c>
      <c r="B414" s="101" t="s">
        <v>1979</v>
      </c>
      <c r="C414" s="101" t="s">
        <v>1980</v>
      </c>
      <c r="D414" s="101" t="s">
        <v>1594</v>
      </c>
      <c r="E414" s="101" t="s">
        <v>500</v>
      </c>
      <c r="F414" s="101" t="s">
        <v>530</v>
      </c>
      <c r="G414" s="101" t="s">
        <v>516</v>
      </c>
      <c r="H414" s="101" t="s">
        <v>517</v>
      </c>
      <c r="I414" s="101" t="s">
        <v>345</v>
      </c>
      <c r="J414" s="101" t="s">
        <v>111</v>
      </c>
      <c r="K414" s="101" t="s">
        <v>199</v>
      </c>
      <c r="L414" s="101" t="s">
        <v>1981</v>
      </c>
      <c r="M414" s="101" t="n">
        <v>213</v>
      </c>
      <c r="N414" s="101" t="n">
        <v>2.8</v>
      </c>
      <c r="O414" s="101" t="n">
        <v>5.8</v>
      </c>
      <c r="P414" s="101" t="s">
        <v>113</v>
      </c>
      <c r="Q414" s="101" t="s">
        <v>124</v>
      </c>
      <c r="R414" s="101" t="s">
        <v>113</v>
      </c>
      <c r="S414" s="101" t="n">
        <v>3</v>
      </c>
      <c r="T414" s="101" t="s">
        <v>487</v>
      </c>
      <c r="U414" s="101" t="s">
        <v>124</v>
      </c>
      <c r="V414" s="101" t="n">
        <v>81.79</v>
      </c>
    </row>
    <row r="415" customFormat="false" ht="15" hidden="false" customHeight="true" outlineLevel="0" collapsed="false">
      <c r="A415" s="101" t="s">
        <v>1982</v>
      </c>
      <c r="B415" s="101" t="s">
        <v>1983</v>
      </c>
      <c r="C415" s="101" t="s">
        <v>1984</v>
      </c>
      <c r="D415" s="101" t="s">
        <v>1758</v>
      </c>
      <c r="E415" s="101" t="s">
        <v>539</v>
      </c>
      <c r="F415" s="101" t="s">
        <v>515</v>
      </c>
      <c r="G415" s="101" t="s">
        <v>516</v>
      </c>
      <c r="H415" s="101" t="s">
        <v>517</v>
      </c>
      <c r="I415" s="101" t="s">
        <v>345</v>
      </c>
      <c r="J415" s="101" t="s">
        <v>123</v>
      </c>
      <c r="K415" s="101" t="s">
        <v>116</v>
      </c>
      <c r="L415" s="101" t="s">
        <v>485</v>
      </c>
      <c r="M415" s="101" t="n">
        <v>28711</v>
      </c>
      <c r="N415" s="101" t="n">
        <v>1.15</v>
      </c>
      <c r="O415" s="101" t="n">
        <v>24.5</v>
      </c>
      <c r="P415" s="101" t="s">
        <v>124</v>
      </c>
      <c r="Q415" s="101" t="s">
        <v>113</v>
      </c>
      <c r="R415" s="101" t="s">
        <v>124</v>
      </c>
      <c r="S415" s="101" t="s">
        <v>486</v>
      </c>
      <c r="T415" s="101" t="s">
        <v>487</v>
      </c>
      <c r="U415" s="101" t="s">
        <v>124</v>
      </c>
      <c r="V415" s="101" t="n">
        <v>183.75</v>
      </c>
    </row>
    <row r="416" customFormat="false" ht="15" hidden="false" customHeight="true" outlineLevel="0" collapsed="false">
      <c r="A416" s="101" t="s">
        <v>1985</v>
      </c>
      <c r="B416" s="101" t="s">
        <v>1986</v>
      </c>
      <c r="C416" s="101" t="s">
        <v>1987</v>
      </c>
      <c r="D416" s="101" t="s">
        <v>1274</v>
      </c>
      <c r="E416" s="101" t="s">
        <v>483</v>
      </c>
      <c r="F416" s="101" t="s">
        <v>566</v>
      </c>
      <c r="G416" s="101" t="s">
        <v>546</v>
      </c>
      <c r="H416" s="101" t="s">
        <v>484</v>
      </c>
      <c r="I416" s="101" t="s">
        <v>345</v>
      </c>
      <c r="J416" s="101" t="s">
        <v>118</v>
      </c>
      <c r="K416" s="101" t="s">
        <v>120</v>
      </c>
      <c r="L416" s="101" t="s">
        <v>766</v>
      </c>
      <c r="M416" s="101" t="n">
        <v>28</v>
      </c>
      <c r="N416" s="101" t="n">
        <v>31.82</v>
      </c>
      <c r="O416" s="101" t="n">
        <v>21.33</v>
      </c>
      <c r="P416" s="101" t="s">
        <v>113</v>
      </c>
      <c r="Q416" s="101" t="s">
        <v>113</v>
      </c>
      <c r="R416" s="101" t="s">
        <v>124</v>
      </c>
      <c r="S416" s="101" t="s">
        <v>486</v>
      </c>
      <c r="T416" s="101" t="s">
        <v>479</v>
      </c>
      <c r="U416" s="101" t="s">
        <v>124</v>
      </c>
      <c r="V416" s="101" t="n">
        <v>368.95</v>
      </c>
    </row>
    <row r="417" customFormat="false" ht="15" hidden="false" customHeight="true" outlineLevel="0" collapsed="false">
      <c r="A417" s="101" t="s">
        <v>1988</v>
      </c>
      <c r="B417" s="101" t="s">
        <v>1989</v>
      </c>
      <c r="C417" s="101" t="s">
        <v>1990</v>
      </c>
      <c r="D417" s="101" t="s">
        <v>993</v>
      </c>
      <c r="E417" s="101" t="s">
        <v>539</v>
      </c>
      <c r="F417" s="101" t="s">
        <v>559</v>
      </c>
      <c r="G417" s="101" t="s">
        <v>560</v>
      </c>
      <c r="H417" s="101" t="s">
        <v>673</v>
      </c>
      <c r="I417" s="101" t="s">
        <v>645</v>
      </c>
      <c r="J417" s="101" t="s">
        <v>111</v>
      </c>
      <c r="K417" s="101" t="s">
        <v>194</v>
      </c>
      <c r="L417" s="101" t="s">
        <v>1991</v>
      </c>
      <c r="M417" s="101" t="n">
        <v>224</v>
      </c>
      <c r="N417" s="101" t="n">
        <v>4.06</v>
      </c>
      <c r="O417" s="101" t="n">
        <v>5.1</v>
      </c>
      <c r="P417" s="101" t="s">
        <v>113</v>
      </c>
      <c r="Q417" s="101" t="s">
        <v>113</v>
      </c>
      <c r="R417" s="101" t="s">
        <v>124</v>
      </c>
      <c r="S417" s="101" t="n">
        <v>3</v>
      </c>
      <c r="T417" s="101" t="s">
        <v>487</v>
      </c>
      <c r="U417" s="101" t="s">
        <v>124</v>
      </c>
      <c r="V417" s="101" t="n">
        <v>71.92</v>
      </c>
    </row>
    <row r="418" customFormat="false" ht="15" hidden="false" customHeight="true" outlineLevel="0" collapsed="false">
      <c r="A418" s="101" t="s">
        <v>1992</v>
      </c>
      <c r="B418" s="101" t="s">
        <v>1993</v>
      </c>
      <c r="C418" s="101" t="s">
        <v>1994</v>
      </c>
      <c r="D418" s="101" t="s">
        <v>716</v>
      </c>
      <c r="E418" s="101" t="s">
        <v>507</v>
      </c>
      <c r="F418" s="101" t="s">
        <v>515</v>
      </c>
      <c r="G418" s="101" t="s">
        <v>516</v>
      </c>
      <c r="H418" s="101" t="s">
        <v>484</v>
      </c>
      <c r="I418" s="101" t="s">
        <v>345</v>
      </c>
      <c r="J418" s="101" t="s">
        <v>123</v>
      </c>
      <c r="K418" s="101" t="s">
        <v>120</v>
      </c>
      <c r="L418" s="101" t="s">
        <v>1048</v>
      </c>
      <c r="M418" s="101" t="n">
        <v>20244</v>
      </c>
      <c r="N418" s="101" t="n">
        <v>12.95</v>
      </c>
      <c r="O418" s="101" t="n">
        <v>30.51</v>
      </c>
      <c r="P418" s="101" t="s">
        <v>124</v>
      </c>
      <c r="Q418" s="101" t="s">
        <v>124</v>
      </c>
      <c r="R418" s="101" t="s">
        <v>124</v>
      </c>
      <c r="S418" s="101" t="n">
        <v>3</v>
      </c>
      <c r="T418" s="101" t="s">
        <v>487</v>
      </c>
      <c r="U418" s="101" t="s">
        <v>124</v>
      </c>
      <c r="V418" s="101" t="n">
        <v>228.83</v>
      </c>
    </row>
    <row r="419" customFormat="false" ht="15" hidden="false" customHeight="true" outlineLevel="0" collapsed="false">
      <c r="A419" s="101" t="s">
        <v>1995</v>
      </c>
      <c r="B419" s="101" t="s">
        <v>1996</v>
      </c>
      <c r="C419" s="101" t="s">
        <v>1997</v>
      </c>
      <c r="D419" s="101" t="s">
        <v>1102</v>
      </c>
      <c r="E419" s="101" t="s">
        <v>473</v>
      </c>
      <c r="F419" s="101" t="s">
        <v>508</v>
      </c>
      <c r="G419" s="101" t="s">
        <v>475</v>
      </c>
      <c r="H419" s="101" t="s">
        <v>644</v>
      </c>
      <c r="I419" s="101" t="s">
        <v>645</v>
      </c>
      <c r="J419" s="101" t="s">
        <v>123</v>
      </c>
      <c r="K419" s="101" t="s">
        <v>116</v>
      </c>
      <c r="L419" s="101" t="s">
        <v>485</v>
      </c>
      <c r="M419" s="101" t="n">
        <v>24714</v>
      </c>
      <c r="N419" s="101" t="n">
        <v>4.3</v>
      </c>
      <c r="O419" s="101" t="n">
        <v>28.08</v>
      </c>
      <c r="P419" s="101" t="s">
        <v>124</v>
      </c>
      <c r="Q419" s="101" t="s">
        <v>113</v>
      </c>
      <c r="R419" s="101" t="s">
        <v>124</v>
      </c>
      <c r="S419" s="101" t="n">
        <v>4</v>
      </c>
      <c r="T419" s="101" t="s">
        <v>479</v>
      </c>
      <c r="U419" s="101" t="s">
        <v>124</v>
      </c>
      <c r="V419" s="101" t="n">
        <v>210.6</v>
      </c>
    </row>
    <row r="420" customFormat="false" ht="15" hidden="false" customHeight="true" outlineLevel="0" collapsed="false">
      <c r="A420" s="101" t="s">
        <v>1998</v>
      </c>
      <c r="B420" s="101" t="s">
        <v>1999</v>
      </c>
      <c r="C420" s="101" t="s">
        <v>1900</v>
      </c>
      <c r="D420" s="101" t="s">
        <v>2000</v>
      </c>
      <c r="E420" s="101" t="s">
        <v>500</v>
      </c>
      <c r="F420" s="101" t="s">
        <v>508</v>
      </c>
      <c r="G420" s="101" t="s">
        <v>475</v>
      </c>
      <c r="H420" s="101" t="s">
        <v>517</v>
      </c>
      <c r="I420" s="101" t="s">
        <v>345</v>
      </c>
      <c r="J420" s="101" t="s">
        <v>118</v>
      </c>
      <c r="K420" s="101" t="s">
        <v>112</v>
      </c>
      <c r="L420" s="101" t="s">
        <v>1617</v>
      </c>
      <c r="M420" s="101" t="n">
        <v>97</v>
      </c>
      <c r="N420" s="101" t="n">
        <v>2.09</v>
      </c>
      <c r="O420" s="101" t="n">
        <v>14.3</v>
      </c>
      <c r="P420" s="101" t="s">
        <v>113</v>
      </c>
      <c r="Q420" s="101" t="s">
        <v>113</v>
      </c>
      <c r="R420" s="101" t="s">
        <v>124</v>
      </c>
      <c r="S420" s="101" t="n">
        <v>4</v>
      </c>
      <c r="T420" s="101" t="s">
        <v>479</v>
      </c>
      <c r="U420" s="101" t="s">
        <v>124</v>
      </c>
      <c r="V420" s="101" t="n">
        <v>247.35</v>
      </c>
    </row>
    <row r="421" customFormat="false" ht="15" hidden="false" customHeight="true" outlineLevel="0" collapsed="false">
      <c r="A421" s="101" t="s">
        <v>2001</v>
      </c>
      <c r="B421" s="101" t="s">
        <v>2002</v>
      </c>
      <c r="C421" s="101" t="s">
        <v>2003</v>
      </c>
      <c r="D421" s="101" t="s">
        <v>997</v>
      </c>
      <c r="E421" s="101" t="s">
        <v>500</v>
      </c>
      <c r="F421" s="101" t="s">
        <v>508</v>
      </c>
      <c r="G421" s="101" t="s">
        <v>475</v>
      </c>
      <c r="H421" s="101" t="s">
        <v>561</v>
      </c>
      <c r="I421" s="101" t="s">
        <v>345</v>
      </c>
      <c r="J421" s="101" t="s">
        <v>123</v>
      </c>
      <c r="K421" s="101" t="s">
        <v>120</v>
      </c>
      <c r="L421" s="101" t="s">
        <v>518</v>
      </c>
      <c r="M421" s="101" t="n">
        <v>11980</v>
      </c>
      <c r="N421" s="101" t="n">
        <v>1.61</v>
      </c>
      <c r="O421" s="101" t="n">
        <v>29.5</v>
      </c>
      <c r="P421" s="101" t="s">
        <v>113</v>
      </c>
      <c r="Q421" s="101" t="s">
        <v>124</v>
      </c>
      <c r="R421" s="101" t="s">
        <v>113</v>
      </c>
      <c r="S421" s="101" t="s">
        <v>486</v>
      </c>
      <c r="T421" s="101" t="s">
        <v>487</v>
      </c>
      <c r="U421" s="101" t="s">
        <v>124</v>
      </c>
      <c r="V421" s="101" t="n">
        <v>221.25</v>
      </c>
    </row>
    <row r="422" customFormat="false" ht="15" hidden="false" customHeight="true" outlineLevel="0" collapsed="false">
      <c r="A422" s="101" t="s">
        <v>2004</v>
      </c>
      <c r="B422" s="101" t="s">
        <v>2005</v>
      </c>
      <c r="C422" s="101" t="s">
        <v>2006</v>
      </c>
      <c r="D422" s="101" t="s">
        <v>708</v>
      </c>
      <c r="E422" s="101" t="s">
        <v>500</v>
      </c>
      <c r="F422" s="101" t="s">
        <v>508</v>
      </c>
      <c r="G422" s="101" t="s">
        <v>475</v>
      </c>
      <c r="H422" s="101" t="s">
        <v>517</v>
      </c>
      <c r="I422" s="101" t="s">
        <v>345</v>
      </c>
      <c r="J422" s="101" t="s">
        <v>115</v>
      </c>
      <c r="K422" s="101" t="s">
        <v>194</v>
      </c>
      <c r="L422" s="101" t="s">
        <v>1608</v>
      </c>
      <c r="M422" s="101" t="n">
        <v>74</v>
      </c>
      <c r="N422" s="101" t="n">
        <v>3.32</v>
      </c>
      <c r="O422" s="101" t="n">
        <v>14.9</v>
      </c>
      <c r="P422" s="101" t="s">
        <v>113</v>
      </c>
      <c r="Q422" s="101" t="s">
        <v>124</v>
      </c>
      <c r="R422" s="101" t="s">
        <v>124</v>
      </c>
      <c r="S422" s="101"/>
      <c r="T422" s="101" t="s">
        <v>479</v>
      </c>
      <c r="U422" s="101" t="s">
        <v>124</v>
      </c>
      <c r="V422" s="101" t="n">
        <v>226.74</v>
      </c>
    </row>
    <row r="423" customFormat="false" ht="15" hidden="false" customHeight="true" outlineLevel="0" collapsed="false">
      <c r="A423" s="101" t="s">
        <v>2007</v>
      </c>
      <c r="B423" s="101" t="s">
        <v>2008</v>
      </c>
      <c r="C423" s="101" t="s">
        <v>2009</v>
      </c>
      <c r="D423" s="101" t="s">
        <v>807</v>
      </c>
      <c r="E423" s="101" t="s">
        <v>514</v>
      </c>
      <c r="F423" s="101" t="s">
        <v>474</v>
      </c>
      <c r="G423" s="101" t="s">
        <v>475</v>
      </c>
      <c r="H423" s="101" t="s">
        <v>493</v>
      </c>
      <c r="I423" s="101" t="s">
        <v>494</v>
      </c>
      <c r="J423" s="101" t="s">
        <v>118</v>
      </c>
      <c r="K423" s="101" t="s">
        <v>120</v>
      </c>
      <c r="L423" s="101" t="s">
        <v>646</v>
      </c>
      <c r="M423" s="101" t="n">
        <v>42</v>
      </c>
      <c r="N423" s="101" t="n">
        <v>3.9</v>
      </c>
      <c r="O423" s="101" t="n">
        <v>23.545</v>
      </c>
      <c r="P423" s="101" t="s">
        <v>113</v>
      </c>
      <c r="Q423" s="101" t="s">
        <v>113</v>
      </c>
      <c r="R423" s="101" t="s">
        <v>124</v>
      </c>
      <c r="S423" s="101" t="n">
        <v>5</v>
      </c>
      <c r="T423" s="101" t="s">
        <v>496</v>
      </c>
      <c r="U423" s="101" t="s">
        <v>124</v>
      </c>
      <c r="V423" s="101" t="n">
        <v>407.26</v>
      </c>
    </row>
    <row r="424" customFormat="false" ht="15" hidden="false" customHeight="true" outlineLevel="0" collapsed="false">
      <c r="A424" s="101" t="s">
        <v>2010</v>
      </c>
      <c r="B424" s="101" t="s">
        <v>2011</v>
      </c>
      <c r="C424" s="101" t="s">
        <v>1777</v>
      </c>
      <c r="D424" s="101" t="s">
        <v>1357</v>
      </c>
      <c r="E424" s="101" t="s">
        <v>500</v>
      </c>
      <c r="F424" s="101" t="s">
        <v>515</v>
      </c>
      <c r="G424" s="101" t="s">
        <v>516</v>
      </c>
      <c r="H424" s="101" t="s">
        <v>561</v>
      </c>
      <c r="I424" s="101" t="s">
        <v>345</v>
      </c>
      <c r="J424" s="101" t="s">
        <v>118</v>
      </c>
      <c r="K424" s="101" t="s">
        <v>120</v>
      </c>
      <c r="L424" s="101" t="s">
        <v>851</v>
      </c>
      <c r="M424" s="101" t="n">
        <v>35</v>
      </c>
      <c r="N424" s="101" t="n">
        <v>2.99</v>
      </c>
      <c r="O424" s="101" t="n">
        <v>22.6</v>
      </c>
      <c r="P424" s="101" t="s">
        <v>113</v>
      </c>
      <c r="Q424" s="101" t="s">
        <v>113</v>
      </c>
      <c r="R424" s="101" t="s">
        <v>124</v>
      </c>
      <c r="S424" s="101" t="n">
        <v>5</v>
      </c>
      <c r="T424" s="101" t="s">
        <v>496</v>
      </c>
      <c r="U424" s="101" t="s">
        <v>124</v>
      </c>
      <c r="V424" s="101" t="n">
        <v>390.92</v>
      </c>
    </row>
    <row r="425" customFormat="false" ht="15" hidden="false" customHeight="true" outlineLevel="0" collapsed="false">
      <c r="A425" s="101" t="s">
        <v>2012</v>
      </c>
      <c r="B425" s="101" t="s">
        <v>2013</v>
      </c>
      <c r="C425" s="101" t="s">
        <v>676</v>
      </c>
      <c r="D425" s="102" t="n">
        <v>45857.5395833333</v>
      </c>
      <c r="E425" s="101" t="s">
        <v>500</v>
      </c>
      <c r="F425" s="101" t="s">
        <v>474</v>
      </c>
      <c r="G425" s="101" t="s">
        <v>475</v>
      </c>
      <c r="H425" s="101" t="s">
        <v>727</v>
      </c>
      <c r="I425" s="101" t="s">
        <v>645</v>
      </c>
      <c r="J425" s="101" t="s">
        <v>115</v>
      </c>
      <c r="K425" s="101" t="s">
        <v>120</v>
      </c>
      <c r="L425" s="101" t="s">
        <v>535</v>
      </c>
      <c r="M425" s="101" t="n">
        <v>47</v>
      </c>
      <c r="N425" s="101" t="n">
        <v>5.85</v>
      </c>
      <c r="O425" s="101" t="n">
        <v>6.2</v>
      </c>
      <c r="P425" s="101" t="s">
        <v>113</v>
      </c>
      <c r="Q425" s="101" t="s">
        <v>113</v>
      </c>
      <c r="R425" s="101" t="s">
        <v>124</v>
      </c>
      <c r="S425" s="101" t="s">
        <v>486</v>
      </c>
      <c r="T425" s="101" t="s">
        <v>479</v>
      </c>
      <c r="U425" s="101" t="s">
        <v>124</v>
      </c>
      <c r="V425" s="101" t="n">
        <v>94.35</v>
      </c>
    </row>
    <row r="426" customFormat="false" ht="15" hidden="false" customHeight="true" outlineLevel="0" collapsed="false">
      <c r="A426" s="101" t="s">
        <v>2014</v>
      </c>
      <c r="B426" s="101" t="s">
        <v>2015</v>
      </c>
      <c r="C426" s="101" t="s">
        <v>2016</v>
      </c>
      <c r="D426" s="101" t="s">
        <v>2017</v>
      </c>
      <c r="E426" s="101" t="s">
        <v>491</v>
      </c>
      <c r="F426" s="101" t="s">
        <v>530</v>
      </c>
      <c r="G426" s="101" t="s">
        <v>516</v>
      </c>
      <c r="H426" s="101" t="s">
        <v>644</v>
      </c>
      <c r="I426" s="101" t="s">
        <v>645</v>
      </c>
      <c r="J426" s="101" t="s">
        <v>115</v>
      </c>
      <c r="K426" s="101" t="s">
        <v>194</v>
      </c>
      <c r="L426" s="101" t="s">
        <v>2018</v>
      </c>
      <c r="M426" s="101" t="n">
        <v>118</v>
      </c>
      <c r="N426" s="101" t="n">
        <v>1.92</v>
      </c>
      <c r="O426" s="101" t="n">
        <v>11.34</v>
      </c>
      <c r="P426" s="101" t="s">
        <v>113</v>
      </c>
      <c r="Q426" s="101" t="s">
        <v>124</v>
      </c>
      <c r="R426" s="101" t="s">
        <v>113</v>
      </c>
      <c r="S426" s="101" t="n">
        <v>2</v>
      </c>
      <c r="T426" s="101" t="s">
        <v>616</v>
      </c>
      <c r="U426" s="101" t="s">
        <v>124</v>
      </c>
      <c r="V426" s="101" t="n">
        <v>172.57</v>
      </c>
    </row>
    <row r="427" customFormat="false" ht="15" hidden="false" customHeight="true" outlineLevel="0" collapsed="false">
      <c r="A427" s="101" t="s">
        <v>2019</v>
      </c>
      <c r="B427" s="101" t="s">
        <v>2020</v>
      </c>
      <c r="C427" s="101" t="s">
        <v>1860</v>
      </c>
      <c r="D427" s="101" t="s">
        <v>2021</v>
      </c>
      <c r="E427" s="101" t="s">
        <v>491</v>
      </c>
      <c r="F427" s="101" t="s">
        <v>566</v>
      </c>
      <c r="G427" s="101" t="s">
        <v>546</v>
      </c>
      <c r="H427" s="101" t="s">
        <v>517</v>
      </c>
      <c r="I427" s="101" t="s">
        <v>345</v>
      </c>
      <c r="J427" s="101" t="s">
        <v>123</v>
      </c>
      <c r="K427" s="101" t="s">
        <v>112</v>
      </c>
      <c r="L427" s="101" t="s">
        <v>1368</v>
      </c>
      <c r="M427" s="101" t="n">
        <v>5375</v>
      </c>
      <c r="N427" s="101" t="n">
        <v>0.76</v>
      </c>
      <c r="O427" s="101" t="n">
        <v>19.5</v>
      </c>
      <c r="P427" s="101" t="s">
        <v>113</v>
      </c>
      <c r="Q427" s="101" t="s">
        <v>113</v>
      </c>
      <c r="R427" s="101" t="s">
        <v>124</v>
      </c>
      <c r="S427" s="101" t="s">
        <v>486</v>
      </c>
      <c r="T427" s="101" t="s">
        <v>479</v>
      </c>
      <c r="U427" s="101" t="s">
        <v>124</v>
      </c>
      <c r="V427" s="101" t="n">
        <v>146.25</v>
      </c>
    </row>
    <row r="428" customFormat="false" ht="15" hidden="false" customHeight="true" outlineLevel="0" collapsed="false">
      <c r="A428" s="101" t="s">
        <v>2022</v>
      </c>
      <c r="B428" s="101" t="s">
        <v>2023</v>
      </c>
      <c r="C428" s="101" t="s">
        <v>1837</v>
      </c>
      <c r="D428" s="101" t="s">
        <v>521</v>
      </c>
      <c r="E428" s="101" t="s">
        <v>473</v>
      </c>
      <c r="F428" s="101" t="s">
        <v>530</v>
      </c>
      <c r="G428" s="101" t="s">
        <v>516</v>
      </c>
      <c r="H428" s="101" t="s">
        <v>561</v>
      </c>
      <c r="I428" s="101" t="s">
        <v>345</v>
      </c>
      <c r="J428" s="101" t="s">
        <v>115</v>
      </c>
      <c r="K428" s="101" t="s">
        <v>116</v>
      </c>
      <c r="L428" s="101" t="s">
        <v>871</v>
      </c>
      <c r="M428" s="101" t="n">
        <v>44</v>
      </c>
      <c r="N428" s="101" t="n">
        <v>8.3</v>
      </c>
      <c r="O428" s="101" t="n">
        <v>11.7</v>
      </c>
      <c r="P428" s="101" t="s">
        <v>113</v>
      </c>
      <c r="Q428" s="101" t="s">
        <v>113</v>
      </c>
      <c r="R428" s="101" t="s">
        <v>124</v>
      </c>
      <c r="S428" s="101" t="n">
        <v>4</v>
      </c>
      <c r="T428" s="101" t="s">
        <v>479</v>
      </c>
      <c r="U428" s="101" t="s">
        <v>124</v>
      </c>
      <c r="V428" s="101" t="n">
        <v>178.04</v>
      </c>
    </row>
    <row r="429" customFormat="false" ht="15" hidden="false" customHeight="true" outlineLevel="0" collapsed="false">
      <c r="A429" s="101" t="s">
        <v>2024</v>
      </c>
      <c r="B429" s="101" t="s">
        <v>2025</v>
      </c>
      <c r="C429" s="101" t="s">
        <v>619</v>
      </c>
      <c r="D429" s="101" t="s">
        <v>726</v>
      </c>
      <c r="E429" s="101" t="s">
        <v>491</v>
      </c>
      <c r="F429" s="101" t="s">
        <v>501</v>
      </c>
      <c r="G429" s="101" t="s">
        <v>502</v>
      </c>
      <c r="H429" s="101" t="s">
        <v>484</v>
      </c>
      <c r="I429" s="101" t="s">
        <v>345</v>
      </c>
      <c r="J429" s="101" t="s">
        <v>123</v>
      </c>
      <c r="K429" s="101" t="s">
        <v>112</v>
      </c>
      <c r="L429" s="101" t="s">
        <v>685</v>
      </c>
      <c r="M429" s="101" t="n">
        <v>25685</v>
      </c>
      <c r="N429" s="101" t="n">
        <v>4.32</v>
      </c>
      <c r="O429" s="101" t="n">
        <v>15.39</v>
      </c>
      <c r="P429" s="101" t="s">
        <v>124</v>
      </c>
      <c r="Q429" s="101" t="s">
        <v>113</v>
      </c>
      <c r="R429" s="101" t="s">
        <v>124</v>
      </c>
      <c r="S429" s="101" t="n">
        <v>3</v>
      </c>
      <c r="T429" s="101" t="s">
        <v>487</v>
      </c>
      <c r="U429" s="101" t="s">
        <v>124</v>
      </c>
      <c r="V429" s="101" t="n">
        <v>115.43</v>
      </c>
    </row>
    <row r="430" customFormat="false" ht="15" hidden="false" customHeight="true" outlineLevel="0" collapsed="false">
      <c r="A430" s="101" t="s">
        <v>2026</v>
      </c>
      <c r="B430" s="101" t="s">
        <v>2027</v>
      </c>
      <c r="C430" s="101" t="s">
        <v>1344</v>
      </c>
      <c r="D430" s="101" t="s">
        <v>1357</v>
      </c>
      <c r="E430" s="101" t="s">
        <v>500</v>
      </c>
      <c r="F430" s="101" t="s">
        <v>530</v>
      </c>
      <c r="G430" s="101" t="s">
        <v>516</v>
      </c>
      <c r="H430" s="101" t="s">
        <v>484</v>
      </c>
      <c r="I430" s="101" t="s">
        <v>345</v>
      </c>
      <c r="J430" s="101" t="s">
        <v>123</v>
      </c>
      <c r="K430" s="101" t="s">
        <v>116</v>
      </c>
      <c r="L430" s="101" t="s">
        <v>1446</v>
      </c>
      <c r="M430" s="101" t="n">
        <v>20296</v>
      </c>
      <c r="N430" s="101" t="n">
        <v>7.99</v>
      </c>
      <c r="O430" s="101" t="n">
        <v>28.08</v>
      </c>
      <c r="P430" s="101" t="s">
        <v>124</v>
      </c>
      <c r="Q430" s="101" t="s">
        <v>124</v>
      </c>
      <c r="R430" s="101" t="s">
        <v>124</v>
      </c>
      <c r="S430" s="101" t="n">
        <v>2</v>
      </c>
      <c r="T430" s="101" t="s">
        <v>616</v>
      </c>
      <c r="U430" s="101" t="s">
        <v>124</v>
      </c>
      <c r="V430" s="101" t="n">
        <v>210.6</v>
      </c>
    </row>
    <row r="431" customFormat="false" ht="15" hidden="false" customHeight="true" outlineLevel="0" collapsed="false">
      <c r="A431" s="101" t="s">
        <v>2028</v>
      </c>
      <c r="B431" s="101" t="s">
        <v>2029</v>
      </c>
      <c r="C431" s="101" t="s">
        <v>2030</v>
      </c>
      <c r="D431" s="101" t="s">
        <v>820</v>
      </c>
      <c r="E431" s="101" t="s">
        <v>483</v>
      </c>
      <c r="F431" s="101" t="s">
        <v>508</v>
      </c>
      <c r="G431" s="101" t="s">
        <v>475</v>
      </c>
      <c r="H431" s="101" t="s">
        <v>476</v>
      </c>
      <c r="I431" s="101" t="s">
        <v>477</v>
      </c>
      <c r="J431" s="101" t="s">
        <v>115</v>
      </c>
      <c r="K431" s="101" t="s">
        <v>116</v>
      </c>
      <c r="L431" s="101" t="s">
        <v>1311</v>
      </c>
      <c r="M431" s="101" t="n">
        <v>265</v>
      </c>
      <c r="N431" s="101" t="n">
        <v>16.7</v>
      </c>
      <c r="O431" s="101" t="n">
        <v>18.225</v>
      </c>
      <c r="P431" s="101" t="s">
        <v>113</v>
      </c>
      <c r="Q431" s="101" t="s">
        <v>113</v>
      </c>
      <c r="R431" s="101" t="s">
        <v>124</v>
      </c>
      <c r="S431" s="101" t="s">
        <v>486</v>
      </c>
      <c r="T431" s="101" t="s">
        <v>496</v>
      </c>
      <c r="U431" s="101" t="s">
        <v>124</v>
      </c>
      <c r="V431" s="101" t="n">
        <v>277.34</v>
      </c>
    </row>
    <row r="432" customFormat="false" ht="15" hidden="false" customHeight="true" outlineLevel="0" collapsed="false">
      <c r="A432" s="101" t="s">
        <v>2031</v>
      </c>
      <c r="B432" s="101" t="s">
        <v>2032</v>
      </c>
      <c r="C432" s="101" t="s">
        <v>2033</v>
      </c>
      <c r="D432" s="101" t="s">
        <v>1055</v>
      </c>
      <c r="E432" s="101" t="s">
        <v>514</v>
      </c>
      <c r="F432" s="101" t="s">
        <v>559</v>
      </c>
      <c r="G432" s="101" t="s">
        <v>560</v>
      </c>
      <c r="H432" s="101" t="s">
        <v>517</v>
      </c>
      <c r="I432" s="101" t="s">
        <v>345</v>
      </c>
      <c r="J432" s="101" t="s">
        <v>133</v>
      </c>
      <c r="K432" s="101"/>
      <c r="L432" s="101" t="s">
        <v>547</v>
      </c>
      <c r="M432" s="101" t="n">
        <v>17</v>
      </c>
      <c r="N432" s="101" t="n">
        <v>0.31</v>
      </c>
      <c r="O432" s="101" t="n">
        <v>1.2</v>
      </c>
      <c r="P432" s="101" t="s">
        <v>113</v>
      </c>
      <c r="Q432" s="101" t="s">
        <v>113</v>
      </c>
      <c r="R432" s="101" t="s">
        <v>124</v>
      </c>
      <c r="S432" s="101" t="n">
        <v>5</v>
      </c>
      <c r="T432" s="101" t="s">
        <v>496</v>
      </c>
      <c r="U432" s="101" t="s">
        <v>124</v>
      </c>
      <c r="V432" s="101" t="n">
        <v>5.76</v>
      </c>
    </row>
    <row r="433" customFormat="false" ht="15" hidden="false" customHeight="true" outlineLevel="0" collapsed="false">
      <c r="A433" s="101" t="s">
        <v>2034</v>
      </c>
      <c r="B433" s="101" t="s">
        <v>2035</v>
      </c>
      <c r="C433" s="101" t="s">
        <v>628</v>
      </c>
      <c r="D433" s="101" t="s">
        <v>2036</v>
      </c>
      <c r="E433" s="101" t="s">
        <v>514</v>
      </c>
      <c r="F433" s="101" t="s">
        <v>474</v>
      </c>
      <c r="G433" s="101" t="s">
        <v>475</v>
      </c>
      <c r="H433" s="101" t="s">
        <v>673</v>
      </c>
      <c r="I433" s="101" t="s">
        <v>645</v>
      </c>
      <c r="J433" s="101" t="s">
        <v>115</v>
      </c>
      <c r="K433" s="101" t="s">
        <v>116</v>
      </c>
      <c r="L433" s="101" t="s">
        <v>677</v>
      </c>
      <c r="M433" s="101" t="n">
        <v>252</v>
      </c>
      <c r="N433" s="101" t="n">
        <v>2.45</v>
      </c>
      <c r="O433" s="101" t="n">
        <v>9</v>
      </c>
      <c r="P433" s="101" t="s">
        <v>113</v>
      </c>
      <c r="Q433" s="101" t="s">
        <v>113</v>
      </c>
      <c r="R433" s="101" t="s">
        <v>124</v>
      </c>
      <c r="S433" s="101" t="n">
        <v>4</v>
      </c>
      <c r="T433" s="101" t="s">
        <v>479</v>
      </c>
      <c r="U433" s="101" t="s">
        <v>124</v>
      </c>
      <c r="V433" s="101" t="n">
        <v>136.96</v>
      </c>
    </row>
    <row r="434" customFormat="false" ht="15" hidden="false" customHeight="true" outlineLevel="0" collapsed="false">
      <c r="A434" s="101" t="s">
        <v>2037</v>
      </c>
      <c r="B434" s="101" t="s">
        <v>2038</v>
      </c>
      <c r="C434" s="101" t="s">
        <v>609</v>
      </c>
      <c r="D434" s="101" t="s">
        <v>773</v>
      </c>
      <c r="E434" s="101" t="s">
        <v>539</v>
      </c>
      <c r="F434" s="101" t="s">
        <v>492</v>
      </c>
      <c r="G434" s="101" t="s">
        <v>475</v>
      </c>
      <c r="H434" s="101" t="s">
        <v>476</v>
      </c>
      <c r="I434" s="101" t="s">
        <v>477</v>
      </c>
      <c r="J434" s="101" t="s">
        <v>123</v>
      </c>
      <c r="K434" s="101" t="s">
        <v>199</v>
      </c>
      <c r="L434" s="101" t="s">
        <v>606</v>
      </c>
      <c r="M434" s="101" t="n">
        <v>8140</v>
      </c>
      <c r="N434" s="101" t="n">
        <v>9.18</v>
      </c>
      <c r="O434" s="101" t="n">
        <v>32.67</v>
      </c>
      <c r="P434" s="101" t="s">
        <v>113</v>
      </c>
      <c r="Q434" s="101" t="s">
        <v>113</v>
      </c>
      <c r="R434" s="101" t="s">
        <v>124</v>
      </c>
      <c r="S434" s="101" t="s">
        <v>486</v>
      </c>
      <c r="T434" s="101" t="s">
        <v>479</v>
      </c>
      <c r="U434" s="101" t="s">
        <v>124</v>
      </c>
      <c r="V434" s="101" t="n">
        <v>245.03</v>
      </c>
    </row>
    <row r="435" customFormat="false" ht="15" hidden="false" customHeight="true" outlineLevel="0" collapsed="false">
      <c r="A435" s="101" t="s">
        <v>2039</v>
      </c>
      <c r="B435" s="101" t="s">
        <v>2040</v>
      </c>
      <c r="C435" s="101" t="s">
        <v>2041</v>
      </c>
      <c r="D435" s="101" t="s">
        <v>1445</v>
      </c>
      <c r="E435" s="101" t="s">
        <v>491</v>
      </c>
      <c r="F435" s="101" t="s">
        <v>545</v>
      </c>
      <c r="G435" s="101" t="s">
        <v>546</v>
      </c>
      <c r="H435" s="101" t="s">
        <v>517</v>
      </c>
      <c r="I435" s="101" t="s">
        <v>345</v>
      </c>
      <c r="J435" s="101" t="s">
        <v>133</v>
      </c>
      <c r="K435" s="101"/>
      <c r="L435" s="101" t="s">
        <v>547</v>
      </c>
      <c r="M435" s="101" t="n">
        <v>10</v>
      </c>
      <c r="N435" s="101" t="n">
        <v>1</v>
      </c>
      <c r="O435" s="101" t="n">
        <v>1.2</v>
      </c>
      <c r="P435" s="101" t="s">
        <v>113</v>
      </c>
      <c r="Q435" s="101" t="s">
        <v>113</v>
      </c>
      <c r="R435" s="101" t="s">
        <v>124</v>
      </c>
      <c r="S435" s="101" t="s">
        <v>486</v>
      </c>
      <c r="T435" s="101" t="s">
        <v>479</v>
      </c>
      <c r="U435" s="101" t="s">
        <v>124</v>
      </c>
      <c r="V435" s="101" t="n">
        <v>5.76</v>
      </c>
    </row>
    <row r="436" customFormat="false" ht="15" hidden="false" customHeight="true" outlineLevel="0" collapsed="false">
      <c r="A436" s="101" t="s">
        <v>2042</v>
      </c>
      <c r="B436" s="101" t="s">
        <v>933</v>
      </c>
      <c r="C436" s="101" t="s">
        <v>934</v>
      </c>
      <c r="D436" s="101" t="s">
        <v>1857</v>
      </c>
      <c r="E436" s="101" t="s">
        <v>500</v>
      </c>
      <c r="F436" s="101" t="s">
        <v>508</v>
      </c>
      <c r="G436" s="101" t="s">
        <v>475</v>
      </c>
      <c r="H436" s="101" t="s">
        <v>592</v>
      </c>
      <c r="I436" s="101" t="s">
        <v>593</v>
      </c>
      <c r="J436" s="101" t="s">
        <v>118</v>
      </c>
      <c r="K436" s="101" t="s">
        <v>112</v>
      </c>
      <c r="L436" s="101" t="s">
        <v>1044</v>
      </c>
      <c r="M436" s="101" t="n">
        <v>61</v>
      </c>
      <c r="N436" s="101" t="n">
        <v>1.62</v>
      </c>
      <c r="O436" s="101" t="n">
        <v>17.4</v>
      </c>
      <c r="P436" s="101" t="s">
        <v>113</v>
      </c>
      <c r="Q436" s="101" t="s">
        <v>113</v>
      </c>
      <c r="R436" s="101" t="s">
        <v>124</v>
      </c>
      <c r="S436" s="101" t="n">
        <v>5</v>
      </c>
      <c r="T436" s="101" t="s">
        <v>496</v>
      </c>
      <c r="U436" s="101" t="s">
        <v>124</v>
      </c>
      <c r="V436" s="101" t="n">
        <v>300.97</v>
      </c>
    </row>
    <row r="437" customFormat="false" ht="15" hidden="false" customHeight="true" outlineLevel="0" collapsed="false">
      <c r="A437" s="101" t="s">
        <v>2043</v>
      </c>
      <c r="B437" s="101" t="s">
        <v>2044</v>
      </c>
      <c r="C437" s="101" t="s">
        <v>2045</v>
      </c>
      <c r="D437" s="101" t="s">
        <v>2036</v>
      </c>
      <c r="E437" s="101" t="s">
        <v>514</v>
      </c>
      <c r="F437" s="101" t="s">
        <v>501</v>
      </c>
      <c r="G437" s="101" t="s">
        <v>502</v>
      </c>
      <c r="H437" s="101" t="s">
        <v>561</v>
      </c>
      <c r="I437" s="101" t="s">
        <v>345</v>
      </c>
      <c r="J437" s="101" t="s">
        <v>115</v>
      </c>
      <c r="K437" s="101" t="s">
        <v>116</v>
      </c>
      <c r="L437" s="101" t="s">
        <v>522</v>
      </c>
      <c r="M437" s="101" t="n">
        <v>169</v>
      </c>
      <c r="N437" s="101" t="n">
        <v>1.7</v>
      </c>
      <c r="O437" s="101" t="n">
        <v>7.3</v>
      </c>
      <c r="P437" s="101" t="s">
        <v>113</v>
      </c>
      <c r="Q437" s="101" t="s">
        <v>113</v>
      </c>
      <c r="R437" s="101" t="s">
        <v>124</v>
      </c>
      <c r="S437" s="101" t="s">
        <v>486</v>
      </c>
      <c r="T437" s="101" t="s">
        <v>479</v>
      </c>
      <c r="U437" s="101" t="s">
        <v>124</v>
      </c>
      <c r="V437" s="101" t="n">
        <v>111.09</v>
      </c>
    </row>
    <row r="438" customFormat="false" ht="15" hidden="false" customHeight="true" outlineLevel="0" collapsed="false">
      <c r="A438" s="101" t="s">
        <v>2046</v>
      </c>
      <c r="B438" s="101" t="s">
        <v>2047</v>
      </c>
      <c r="C438" s="101" t="s">
        <v>2048</v>
      </c>
      <c r="D438" s="101" t="s">
        <v>1632</v>
      </c>
      <c r="E438" s="101" t="s">
        <v>500</v>
      </c>
      <c r="F438" s="101" t="s">
        <v>508</v>
      </c>
      <c r="G438" s="101" t="s">
        <v>475</v>
      </c>
      <c r="H438" s="101" t="s">
        <v>509</v>
      </c>
      <c r="I438" s="101" t="s">
        <v>345</v>
      </c>
      <c r="J438" s="101" t="s">
        <v>118</v>
      </c>
      <c r="K438" s="101" t="s">
        <v>199</v>
      </c>
      <c r="L438" s="101" t="s">
        <v>846</v>
      </c>
      <c r="M438" s="101" t="n">
        <v>66</v>
      </c>
      <c r="N438" s="101" t="n">
        <v>0.77</v>
      </c>
      <c r="O438" s="101" t="n">
        <v>14.8</v>
      </c>
      <c r="P438" s="101" t="s">
        <v>113</v>
      </c>
      <c r="Q438" s="101" t="s">
        <v>113</v>
      </c>
      <c r="R438" s="101" t="s">
        <v>124</v>
      </c>
      <c r="S438" s="101" t="n">
        <v>3</v>
      </c>
      <c r="T438" s="101" t="s">
        <v>487</v>
      </c>
      <c r="U438" s="101" t="s">
        <v>124</v>
      </c>
      <c r="V438" s="101" t="n">
        <v>256</v>
      </c>
    </row>
    <row r="439" customFormat="false" ht="15" hidden="false" customHeight="true" outlineLevel="0" collapsed="false">
      <c r="A439" s="101" t="s">
        <v>2049</v>
      </c>
      <c r="B439" s="101" t="s">
        <v>2050</v>
      </c>
      <c r="C439" s="101" t="s">
        <v>543</v>
      </c>
      <c r="D439" s="101" t="s">
        <v>1817</v>
      </c>
      <c r="E439" s="101" t="s">
        <v>483</v>
      </c>
      <c r="F439" s="101" t="s">
        <v>492</v>
      </c>
      <c r="G439" s="101" t="s">
        <v>475</v>
      </c>
      <c r="H439" s="101" t="s">
        <v>476</v>
      </c>
      <c r="I439" s="101" t="s">
        <v>477</v>
      </c>
      <c r="J439" s="101" t="s">
        <v>123</v>
      </c>
      <c r="K439" s="101" t="s">
        <v>112</v>
      </c>
      <c r="L439" s="101" t="s">
        <v>478</v>
      </c>
      <c r="M439" s="101" t="n">
        <v>7665</v>
      </c>
      <c r="N439" s="101" t="n">
        <v>1.93</v>
      </c>
      <c r="O439" s="101" t="n">
        <v>49.545</v>
      </c>
      <c r="P439" s="101" t="s">
        <v>113</v>
      </c>
      <c r="Q439" s="101" t="s">
        <v>113</v>
      </c>
      <c r="R439" s="101" t="s">
        <v>124</v>
      </c>
      <c r="S439" s="101" t="n">
        <v>5</v>
      </c>
      <c r="T439" s="101" t="s">
        <v>496</v>
      </c>
      <c r="U439" s="101" t="s">
        <v>124</v>
      </c>
      <c r="V439" s="101" t="n">
        <v>371.59</v>
      </c>
    </row>
    <row r="440" customFormat="false" ht="15" hidden="false" customHeight="true" outlineLevel="0" collapsed="false">
      <c r="A440" s="101" t="s">
        <v>2051</v>
      </c>
      <c r="B440" s="101" t="s">
        <v>2052</v>
      </c>
      <c r="C440" s="101" t="s">
        <v>2053</v>
      </c>
      <c r="D440" s="101" t="s">
        <v>1363</v>
      </c>
      <c r="E440" s="101" t="s">
        <v>491</v>
      </c>
      <c r="F440" s="101" t="s">
        <v>566</v>
      </c>
      <c r="G440" s="101" t="s">
        <v>546</v>
      </c>
      <c r="H440" s="101" t="s">
        <v>484</v>
      </c>
      <c r="I440" s="101" t="s">
        <v>345</v>
      </c>
      <c r="J440" s="101" t="s">
        <v>111</v>
      </c>
      <c r="K440" s="101" t="s">
        <v>112</v>
      </c>
      <c r="L440" s="101" t="s">
        <v>1513</v>
      </c>
      <c r="M440" s="101" t="n">
        <v>567</v>
      </c>
      <c r="N440" s="101" t="n">
        <v>7.08</v>
      </c>
      <c r="O440" s="101" t="n">
        <v>8.1</v>
      </c>
      <c r="P440" s="101" t="s">
        <v>113</v>
      </c>
      <c r="Q440" s="101" t="s">
        <v>124</v>
      </c>
      <c r="R440" s="101" t="s">
        <v>124</v>
      </c>
      <c r="S440" s="101" t="n">
        <v>3</v>
      </c>
      <c r="T440" s="101" t="s">
        <v>487</v>
      </c>
      <c r="U440" s="101" t="s">
        <v>124</v>
      </c>
      <c r="V440" s="101" t="n">
        <v>114.23</v>
      </c>
    </row>
    <row r="441" customFormat="false" ht="15" hidden="false" customHeight="true" outlineLevel="0" collapsed="false">
      <c r="A441" s="101" t="s">
        <v>2054</v>
      </c>
      <c r="B441" s="101" t="s">
        <v>2055</v>
      </c>
      <c r="C441" s="101" t="s">
        <v>2056</v>
      </c>
      <c r="D441" s="101" t="s">
        <v>938</v>
      </c>
      <c r="E441" s="101" t="s">
        <v>491</v>
      </c>
      <c r="F441" s="101" t="s">
        <v>474</v>
      </c>
      <c r="G441" s="101" t="s">
        <v>475</v>
      </c>
      <c r="H441" s="101" t="s">
        <v>517</v>
      </c>
      <c r="I441" s="101" t="s">
        <v>345</v>
      </c>
      <c r="J441" s="101" t="s">
        <v>115</v>
      </c>
      <c r="K441" s="101" t="s">
        <v>120</v>
      </c>
      <c r="L441" s="101" t="s">
        <v>1175</v>
      </c>
      <c r="M441" s="101" t="n">
        <v>45</v>
      </c>
      <c r="N441" s="101" t="n">
        <v>1.92</v>
      </c>
      <c r="O441" s="101" t="n">
        <v>13.3</v>
      </c>
      <c r="P441" s="101" t="s">
        <v>113</v>
      </c>
      <c r="Q441" s="101" t="s">
        <v>124</v>
      </c>
      <c r="R441" s="101" t="s">
        <v>124</v>
      </c>
      <c r="S441" s="101" t="n">
        <v>4</v>
      </c>
      <c r="T441" s="101" t="s">
        <v>479</v>
      </c>
      <c r="U441" s="101" t="s">
        <v>124</v>
      </c>
      <c r="V441" s="101" t="n">
        <v>202.39</v>
      </c>
    </row>
    <row r="442" customFormat="false" ht="15" hidden="false" customHeight="true" outlineLevel="0" collapsed="false">
      <c r="A442" s="101" t="s">
        <v>2057</v>
      </c>
      <c r="B442" s="101" t="s">
        <v>2058</v>
      </c>
      <c r="C442" s="101" t="s">
        <v>2059</v>
      </c>
      <c r="D442" s="101" t="s">
        <v>1285</v>
      </c>
      <c r="E442" s="101" t="s">
        <v>514</v>
      </c>
      <c r="F442" s="101" t="s">
        <v>530</v>
      </c>
      <c r="G442" s="101" t="s">
        <v>516</v>
      </c>
      <c r="H442" s="101" t="s">
        <v>673</v>
      </c>
      <c r="I442" s="101" t="s">
        <v>645</v>
      </c>
      <c r="J442" s="101" t="s">
        <v>115</v>
      </c>
      <c r="K442" s="101" t="s">
        <v>112</v>
      </c>
      <c r="L442" s="101" t="s">
        <v>1747</v>
      </c>
      <c r="M442" s="101" t="n">
        <v>113</v>
      </c>
      <c r="N442" s="101" t="n">
        <v>9.4</v>
      </c>
      <c r="O442" s="101" t="n">
        <v>9.6</v>
      </c>
      <c r="P442" s="101" t="s">
        <v>113</v>
      </c>
      <c r="Q442" s="101" t="s">
        <v>113</v>
      </c>
      <c r="R442" s="101" t="s">
        <v>124</v>
      </c>
      <c r="S442" s="101"/>
      <c r="T442" s="101" t="s">
        <v>479</v>
      </c>
      <c r="U442" s="101" t="s">
        <v>124</v>
      </c>
      <c r="V442" s="101" t="n">
        <v>146.09</v>
      </c>
    </row>
    <row r="443" customFormat="false" ht="15" hidden="false" customHeight="true" outlineLevel="0" collapsed="false">
      <c r="A443" s="101" t="s">
        <v>2060</v>
      </c>
      <c r="B443" s="101" t="s">
        <v>2061</v>
      </c>
      <c r="C443" s="101" t="s">
        <v>1065</v>
      </c>
      <c r="D443" s="101" t="s">
        <v>1594</v>
      </c>
      <c r="E443" s="101" t="s">
        <v>500</v>
      </c>
      <c r="F443" s="101" t="s">
        <v>474</v>
      </c>
      <c r="G443" s="101" t="s">
        <v>475</v>
      </c>
      <c r="H443" s="101" t="s">
        <v>673</v>
      </c>
      <c r="I443" s="101" t="s">
        <v>645</v>
      </c>
      <c r="J443" s="101" t="s">
        <v>115</v>
      </c>
      <c r="K443" s="101" t="s">
        <v>120</v>
      </c>
      <c r="L443" s="101" t="s">
        <v>907</v>
      </c>
      <c r="M443" s="101" t="n">
        <v>187</v>
      </c>
      <c r="N443" s="101" t="n">
        <v>0.45</v>
      </c>
      <c r="O443" s="101" t="n">
        <v>17.3</v>
      </c>
      <c r="P443" s="101" t="s">
        <v>113</v>
      </c>
      <c r="Q443" s="101" t="s">
        <v>124</v>
      </c>
      <c r="R443" s="101" t="s">
        <v>124</v>
      </c>
      <c r="S443" s="101" t="n">
        <v>4</v>
      </c>
      <c r="T443" s="101" t="s">
        <v>479</v>
      </c>
      <c r="U443" s="101" t="s">
        <v>124</v>
      </c>
      <c r="V443" s="101" t="n">
        <v>263.26</v>
      </c>
    </row>
    <row r="444" customFormat="false" ht="15" hidden="false" customHeight="true" outlineLevel="0" collapsed="false">
      <c r="A444" s="101" t="s">
        <v>2062</v>
      </c>
      <c r="B444" s="101" t="s">
        <v>2063</v>
      </c>
      <c r="C444" s="101" t="s">
        <v>2064</v>
      </c>
      <c r="D444" s="101" t="s">
        <v>570</v>
      </c>
      <c r="E444" s="101" t="s">
        <v>539</v>
      </c>
      <c r="F444" s="101" t="s">
        <v>492</v>
      </c>
      <c r="G444" s="101" t="s">
        <v>475</v>
      </c>
      <c r="H444" s="101" t="s">
        <v>517</v>
      </c>
      <c r="I444" s="101" t="s">
        <v>345</v>
      </c>
      <c r="J444" s="101" t="s">
        <v>115</v>
      </c>
      <c r="K444" s="101" t="s">
        <v>116</v>
      </c>
      <c r="L444" s="101" t="s">
        <v>621</v>
      </c>
      <c r="M444" s="101" t="n">
        <v>240</v>
      </c>
      <c r="N444" s="101" t="n">
        <v>5.2</v>
      </c>
      <c r="O444" s="101" t="n">
        <v>14.9</v>
      </c>
      <c r="P444" s="101" t="s">
        <v>113</v>
      </c>
      <c r="Q444" s="101" t="s">
        <v>113</v>
      </c>
      <c r="R444" s="101" t="s">
        <v>124</v>
      </c>
      <c r="S444" s="101" t="n">
        <v>5</v>
      </c>
      <c r="T444" s="101" t="s">
        <v>496</v>
      </c>
      <c r="U444" s="101" t="s">
        <v>124</v>
      </c>
      <c r="V444" s="101" t="n">
        <v>226.74</v>
      </c>
    </row>
    <row r="445" customFormat="false" ht="15" hidden="false" customHeight="true" outlineLevel="0" collapsed="false">
      <c r="A445" s="101" t="s">
        <v>2065</v>
      </c>
      <c r="B445" s="101" t="s">
        <v>2066</v>
      </c>
      <c r="C445" s="101" t="s">
        <v>2067</v>
      </c>
      <c r="D445" s="101" t="s">
        <v>659</v>
      </c>
      <c r="E445" s="101" t="s">
        <v>507</v>
      </c>
      <c r="F445" s="101" t="s">
        <v>474</v>
      </c>
      <c r="G445" s="101" t="s">
        <v>475</v>
      </c>
      <c r="H445" s="101" t="s">
        <v>561</v>
      </c>
      <c r="I445" s="101" t="s">
        <v>345</v>
      </c>
      <c r="J445" s="101" t="s">
        <v>118</v>
      </c>
      <c r="K445" s="101" t="s">
        <v>199</v>
      </c>
      <c r="L445" s="101" t="s">
        <v>586</v>
      </c>
      <c r="M445" s="101" t="n">
        <v>105</v>
      </c>
      <c r="N445" s="101" t="n">
        <v>0.33</v>
      </c>
      <c r="O445" s="101" t="n">
        <v>20.1</v>
      </c>
      <c r="P445" s="101" t="s">
        <v>113</v>
      </c>
      <c r="Q445" s="101" t="s">
        <v>113</v>
      </c>
      <c r="R445" s="101" t="s">
        <v>124</v>
      </c>
      <c r="S445" s="101" t="n">
        <v>4</v>
      </c>
      <c r="T445" s="101" t="s">
        <v>479</v>
      </c>
      <c r="U445" s="101" t="s">
        <v>124</v>
      </c>
      <c r="V445" s="101" t="n">
        <v>347.68</v>
      </c>
    </row>
    <row r="446" customFormat="false" ht="15" hidden="false" customHeight="true" outlineLevel="0" collapsed="false">
      <c r="A446" s="101" t="s">
        <v>2068</v>
      </c>
      <c r="B446" s="101" t="s">
        <v>2069</v>
      </c>
      <c r="C446" s="101" t="s">
        <v>2070</v>
      </c>
      <c r="D446" s="101" t="s">
        <v>1386</v>
      </c>
      <c r="E446" s="101" t="s">
        <v>500</v>
      </c>
      <c r="F446" s="101" t="s">
        <v>566</v>
      </c>
      <c r="G446" s="101" t="s">
        <v>546</v>
      </c>
      <c r="H446" s="101" t="s">
        <v>561</v>
      </c>
      <c r="I446" s="101" t="s">
        <v>345</v>
      </c>
      <c r="J446" s="101" t="s">
        <v>118</v>
      </c>
      <c r="K446" s="101" t="s">
        <v>120</v>
      </c>
      <c r="L446" s="101" t="s">
        <v>503</v>
      </c>
      <c r="M446" s="101" t="s">
        <v>486</v>
      </c>
      <c r="N446" s="101" t="n">
        <v>1.14</v>
      </c>
      <c r="O446" s="101" t="n">
        <v>24.4</v>
      </c>
      <c r="P446" s="101" t="s">
        <v>113</v>
      </c>
      <c r="Q446" s="101" t="s">
        <v>124</v>
      </c>
      <c r="R446" s="101" t="s">
        <v>124</v>
      </c>
      <c r="S446" s="101" t="s">
        <v>486</v>
      </c>
      <c r="T446" s="101" t="s">
        <v>487</v>
      </c>
      <c r="U446" s="101" t="s">
        <v>124</v>
      </c>
      <c r="V446" s="101" t="n">
        <v>422.05</v>
      </c>
    </row>
    <row r="447" customFormat="false" ht="15" hidden="false" customHeight="true" outlineLevel="0" collapsed="false">
      <c r="A447" s="101" t="s">
        <v>2071</v>
      </c>
      <c r="B447" s="101" t="s">
        <v>2072</v>
      </c>
      <c r="C447" s="101" t="s">
        <v>2073</v>
      </c>
      <c r="D447" s="101" t="s">
        <v>1632</v>
      </c>
      <c r="E447" s="101" t="s">
        <v>500</v>
      </c>
      <c r="F447" s="101" t="s">
        <v>559</v>
      </c>
      <c r="G447" s="101" t="s">
        <v>560</v>
      </c>
      <c r="H447" s="101" t="s">
        <v>484</v>
      </c>
      <c r="I447" s="101" t="s">
        <v>345</v>
      </c>
      <c r="J447" s="101" t="s">
        <v>111</v>
      </c>
      <c r="K447" s="101" t="s">
        <v>116</v>
      </c>
      <c r="L447" s="101" t="s">
        <v>871</v>
      </c>
      <c r="M447" s="101" t="n">
        <v>736</v>
      </c>
      <c r="N447" s="101" t="n">
        <v>4.75</v>
      </c>
      <c r="O447" s="101" t="n">
        <v>6.615</v>
      </c>
      <c r="P447" s="101" t="s">
        <v>113</v>
      </c>
      <c r="Q447" s="101" t="s">
        <v>113</v>
      </c>
      <c r="R447" s="101" t="s">
        <v>124</v>
      </c>
      <c r="S447" s="101" t="n">
        <v>3</v>
      </c>
      <c r="T447" s="101" t="s">
        <v>487</v>
      </c>
      <c r="U447" s="101" t="s">
        <v>124</v>
      </c>
      <c r="V447" s="101" t="n">
        <v>93.29</v>
      </c>
    </row>
    <row r="448" customFormat="false" ht="15" hidden="false" customHeight="true" outlineLevel="0" collapsed="false">
      <c r="A448" s="101" t="s">
        <v>2074</v>
      </c>
      <c r="B448" s="101" t="s">
        <v>2075</v>
      </c>
      <c r="C448" s="101" t="s">
        <v>2076</v>
      </c>
      <c r="D448" s="101" t="s">
        <v>803</v>
      </c>
      <c r="E448" s="101" t="s">
        <v>539</v>
      </c>
      <c r="F448" s="101" t="s">
        <v>545</v>
      </c>
      <c r="G448" s="101" t="s">
        <v>546</v>
      </c>
      <c r="H448" s="101" t="s">
        <v>561</v>
      </c>
      <c r="I448" s="101" t="s">
        <v>345</v>
      </c>
      <c r="J448" s="101" t="s">
        <v>118</v>
      </c>
      <c r="K448" s="101" t="s">
        <v>120</v>
      </c>
      <c r="L448" s="101" t="s">
        <v>733</v>
      </c>
      <c r="M448" s="101" t="n">
        <v>62</v>
      </c>
      <c r="N448" s="101" t="n">
        <v>1.17</v>
      </c>
      <c r="O448" s="101" t="n">
        <v>16.7</v>
      </c>
      <c r="P448" s="101" t="s">
        <v>113</v>
      </c>
      <c r="Q448" s="101" t="s">
        <v>113</v>
      </c>
      <c r="R448" s="101" t="s">
        <v>124</v>
      </c>
      <c r="S448" s="101" t="s">
        <v>486</v>
      </c>
      <c r="T448" s="101" t="s">
        <v>496</v>
      </c>
      <c r="U448" s="101" t="s">
        <v>124</v>
      </c>
      <c r="V448" s="101" t="n">
        <v>288.86</v>
      </c>
    </row>
    <row r="449" customFormat="false" ht="15" hidden="false" customHeight="true" outlineLevel="0" collapsed="false">
      <c r="A449" s="101" t="s">
        <v>2077</v>
      </c>
      <c r="B449" s="101" t="s">
        <v>2078</v>
      </c>
      <c r="C449" s="101" t="s">
        <v>2079</v>
      </c>
      <c r="D449" s="101" t="s">
        <v>972</v>
      </c>
      <c r="E449" s="101" t="s">
        <v>539</v>
      </c>
      <c r="F449" s="101" t="s">
        <v>515</v>
      </c>
      <c r="G449" s="101" t="s">
        <v>516</v>
      </c>
      <c r="H449" s="101" t="s">
        <v>517</v>
      </c>
      <c r="I449" s="101" t="s">
        <v>345</v>
      </c>
      <c r="J449" s="101" t="s">
        <v>118</v>
      </c>
      <c r="K449" s="101" t="s">
        <v>112</v>
      </c>
      <c r="L449" s="101" t="s">
        <v>762</v>
      </c>
      <c r="M449" s="101" t="n">
        <v>60</v>
      </c>
      <c r="N449" s="101" t="n">
        <v>2.34</v>
      </c>
      <c r="O449" s="101" t="n">
        <v>20.8</v>
      </c>
      <c r="P449" s="101" t="s">
        <v>113</v>
      </c>
      <c r="Q449" s="101" t="s">
        <v>124</v>
      </c>
      <c r="R449" s="101" t="s">
        <v>124</v>
      </c>
      <c r="S449" s="101" t="n">
        <v>3</v>
      </c>
      <c r="T449" s="101" t="s">
        <v>487</v>
      </c>
      <c r="U449" s="101" t="s">
        <v>124</v>
      </c>
      <c r="V449" s="101" t="n">
        <v>359.78</v>
      </c>
    </row>
    <row r="450" customFormat="false" ht="15" hidden="false" customHeight="true" outlineLevel="0" collapsed="false">
      <c r="A450" s="101" t="s">
        <v>2080</v>
      </c>
      <c r="B450" s="101" t="s">
        <v>2081</v>
      </c>
      <c r="C450" s="101" t="s">
        <v>2082</v>
      </c>
      <c r="D450" s="101" t="s">
        <v>2083</v>
      </c>
      <c r="E450" s="101" t="s">
        <v>500</v>
      </c>
      <c r="F450" s="101" t="s">
        <v>545</v>
      </c>
      <c r="G450" s="101" t="s">
        <v>546</v>
      </c>
      <c r="H450" s="101" t="s">
        <v>644</v>
      </c>
      <c r="I450" s="101" t="s">
        <v>645</v>
      </c>
      <c r="J450" s="101" t="s">
        <v>123</v>
      </c>
      <c r="K450" s="101" t="s">
        <v>120</v>
      </c>
      <c r="L450" s="101" t="s">
        <v>964</v>
      </c>
      <c r="M450" s="101" t="n">
        <v>5558</v>
      </c>
      <c r="N450" s="101" t="n">
        <v>10.78</v>
      </c>
      <c r="O450" s="101" t="n">
        <v>70.335</v>
      </c>
      <c r="P450" s="101" t="s">
        <v>113</v>
      </c>
      <c r="Q450" s="101" t="s">
        <v>124</v>
      </c>
      <c r="R450" s="101" t="s">
        <v>124</v>
      </c>
      <c r="S450" s="101"/>
      <c r="T450" s="101" t="s">
        <v>487</v>
      </c>
      <c r="U450" s="101" t="s">
        <v>124</v>
      </c>
      <c r="V450" s="101" t="n">
        <v>527.51</v>
      </c>
    </row>
    <row r="451" customFormat="false" ht="15" hidden="false" customHeight="true" outlineLevel="0" collapsed="false">
      <c r="A451" s="101" t="s">
        <v>2084</v>
      </c>
      <c r="B451" s="101" t="s">
        <v>2085</v>
      </c>
      <c r="C451" s="101" t="s">
        <v>2086</v>
      </c>
      <c r="D451" s="102" t="n">
        <v>45868.7451388889</v>
      </c>
      <c r="E451" s="101" t="s">
        <v>473</v>
      </c>
      <c r="F451" s="101" t="s">
        <v>492</v>
      </c>
      <c r="G451" s="101" t="s">
        <v>475</v>
      </c>
      <c r="H451" s="101" t="s">
        <v>509</v>
      </c>
      <c r="I451" s="101" t="s">
        <v>345</v>
      </c>
      <c r="J451" s="101" t="s">
        <v>115</v>
      </c>
      <c r="K451" s="101" t="s">
        <v>112</v>
      </c>
      <c r="L451" s="101" t="s">
        <v>1264</v>
      </c>
      <c r="M451" s="101" t="n">
        <v>244</v>
      </c>
      <c r="N451" s="101" t="n">
        <v>2.02</v>
      </c>
      <c r="O451" s="101" t="n">
        <v>21.9</v>
      </c>
      <c r="P451" s="101" t="s">
        <v>113</v>
      </c>
      <c r="Q451" s="101" t="s">
        <v>124</v>
      </c>
      <c r="R451" s="101" t="s">
        <v>124</v>
      </c>
      <c r="S451" s="101" t="n">
        <v>4</v>
      </c>
      <c r="T451" s="101" t="s">
        <v>479</v>
      </c>
      <c r="U451" s="101" t="s">
        <v>124</v>
      </c>
      <c r="V451" s="101" t="n">
        <v>333.26</v>
      </c>
    </row>
    <row r="452" customFormat="false" ht="15" hidden="false" customHeight="true" outlineLevel="0" collapsed="false">
      <c r="A452" s="101" t="s">
        <v>2087</v>
      </c>
      <c r="B452" s="101" t="s">
        <v>2088</v>
      </c>
      <c r="C452" s="101" t="s">
        <v>2089</v>
      </c>
      <c r="D452" s="101" t="s">
        <v>614</v>
      </c>
      <c r="E452" s="101" t="s">
        <v>491</v>
      </c>
      <c r="F452" s="101" t="s">
        <v>474</v>
      </c>
      <c r="G452" s="101" t="s">
        <v>475</v>
      </c>
      <c r="H452" s="101" t="s">
        <v>476</v>
      </c>
      <c r="I452" s="101" t="s">
        <v>477</v>
      </c>
      <c r="J452" s="101" t="s">
        <v>133</v>
      </c>
      <c r="K452" s="101"/>
      <c r="L452" s="101" t="s">
        <v>547</v>
      </c>
      <c r="M452" s="101" t="n">
        <v>20</v>
      </c>
      <c r="N452" s="101" t="n">
        <v>21.9</v>
      </c>
      <c r="O452" s="101" t="n">
        <v>1.755</v>
      </c>
      <c r="P452" s="101" t="s">
        <v>113</v>
      </c>
      <c r="Q452" s="101" t="s">
        <v>113</v>
      </c>
      <c r="R452" s="101" t="s">
        <v>124</v>
      </c>
      <c r="S452" s="101" t="n">
        <v>5</v>
      </c>
      <c r="T452" s="101" t="s">
        <v>496</v>
      </c>
      <c r="U452" s="101" t="s">
        <v>124</v>
      </c>
      <c r="V452" s="101" t="n">
        <v>8.42</v>
      </c>
    </row>
    <row r="453" customFormat="false" ht="15" hidden="false" customHeight="true" outlineLevel="0" collapsed="false">
      <c r="A453" s="101" t="s">
        <v>2090</v>
      </c>
      <c r="B453" s="101" t="s">
        <v>2091</v>
      </c>
      <c r="C453" s="101" t="s">
        <v>2092</v>
      </c>
      <c r="D453" s="101" t="s">
        <v>841</v>
      </c>
      <c r="E453" s="101" t="s">
        <v>473</v>
      </c>
      <c r="F453" s="101" t="s">
        <v>740</v>
      </c>
      <c r="G453" s="101" t="s">
        <v>560</v>
      </c>
      <c r="H453" s="101" t="s">
        <v>727</v>
      </c>
      <c r="I453" s="101" t="s">
        <v>645</v>
      </c>
      <c r="J453" s="101" t="s">
        <v>115</v>
      </c>
      <c r="K453" s="101" t="s">
        <v>120</v>
      </c>
      <c r="L453" s="101" t="s">
        <v>690</v>
      </c>
      <c r="M453" s="101" t="n">
        <v>169</v>
      </c>
      <c r="N453" s="101" t="n">
        <v>0.38</v>
      </c>
      <c r="O453" s="101" t="n">
        <v>9.9</v>
      </c>
      <c r="P453" s="101" t="s">
        <v>113</v>
      </c>
      <c r="Q453" s="101" t="s">
        <v>113</v>
      </c>
      <c r="R453" s="101" t="s">
        <v>124</v>
      </c>
      <c r="S453" s="101" t="n">
        <v>4</v>
      </c>
      <c r="T453" s="101" t="s">
        <v>479</v>
      </c>
      <c r="U453" s="101" t="s">
        <v>124</v>
      </c>
      <c r="V453" s="101" t="n">
        <v>150.65</v>
      </c>
    </row>
    <row r="454" customFormat="false" ht="15" hidden="false" customHeight="true" outlineLevel="0" collapsed="false">
      <c r="A454" s="101" t="s">
        <v>2093</v>
      </c>
      <c r="B454" s="101" t="s">
        <v>2094</v>
      </c>
      <c r="C454" s="101" t="s">
        <v>1367</v>
      </c>
      <c r="D454" s="101" t="s">
        <v>855</v>
      </c>
      <c r="E454" s="101" t="s">
        <v>507</v>
      </c>
      <c r="F454" s="101" t="s">
        <v>492</v>
      </c>
      <c r="G454" s="101" t="s">
        <v>475</v>
      </c>
      <c r="H454" s="101" t="s">
        <v>476</v>
      </c>
      <c r="I454" s="101" t="s">
        <v>477</v>
      </c>
      <c r="J454" s="101" t="s">
        <v>115</v>
      </c>
      <c r="K454" s="101" t="s">
        <v>112</v>
      </c>
      <c r="L454" s="101" t="s">
        <v>1740</v>
      </c>
      <c r="M454" s="101" t="n">
        <v>298</v>
      </c>
      <c r="N454" s="101" t="n">
        <v>9.81</v>
      </c>
      <c r="O454" s="101" t="n">
        <v>17.28</v>
      </c>
      <c r="P454" s="101" t="s">
        <v>113</v>
      </c>
      <c r="Q454" s="101" t="s">
        <v>113</v>
      </c>
      <c r="R454" s="101" t="s">
        <v>124</v>
      </c>
      <c r="S454" s="101"/>
      <c r="T454" s="101" t="s">
        <v>487</v>
      </c>
      <c r="U454" s="101" t="s">
        <v>124</v>
      </c>
      <c r="V454" s="101" t="n">
        <v>262.96</v>
      </c>
    </row>
    <row r="455" customFormat="false" ht="15" hidden="false" customHeight="true" outlineLevel="0" collapsed="false">
      <c r="A455" s="101" t="s">
        <v>2095</v>
      </c>
      <c r="B455" s="101" t="s">
        <v>2096</v>
      </c>
      <c r="C455" s="101" t="s">
        <v>1270</v>
      </c>
      <c r="D455" s="101" t="s">
        <v>816</v>
      </c>
      <c r="E455" s="101" t="s">
        <v>491</v>
      </c>
      <c r="F455" s="101" t="s">
        <v>545</v>
      </c>
      <c r="G455" s="101" t="s">
        <v>546</v>
      </c>
      <c r="H455" s="101" t="s">
        <v>561</v>
      </c>
      <c r="I455" s="101" t="s">
        <v>345</v>
      </c>
      <c r="J455" s="101" t="s">
        <v>118</v>
      </c>
      <c r="K455" s="101" t="s">
        <v>116</v>
      </c>
      <c r="L455" s="101" t="s">
        <v>1075</v>
      </c>
      <c r="M455" s="101" t="n">
        <v>26</v>
      </c>
      <c r="N455" s="101" t="n">
        <v>1.34</v>
      </c>
      <c r="O455" s="101" t="n">
        <v>26.1</v>
      </c>
      <c r="P455" s="101" t="s">
        <v>113</v>
      </c>
      <c r="Q455" s="101" t="s">
        <v>124</v>
      </c>
      <c r="R455" s="101" t="s">
        <v>113</v>
      </c>
      <c r="S455" s="101" t="s">
        <v>486</v>
      </c>
      <c r="T455" s="101" t="s">
        <v>487</v>
      </c>
      <c r="U455" s="101" t="s">
        <v>124</v>
      </c>
      <c r="V455" s="101" t="n">
        <v>451.46</v>
      </c>
    </row>
    <row r="456" customFormat="false" ht="15" hidden="false" customHeight="true" outlineLevel="0" collapsed="false">
      <c r="A456" s="101" t="s">
        <v>2097</v>
      </c>
      <c r="B456" s="101" t="s">
        <v>2098</v>
      </c>
      <c r="C456" s="101" t="s">
        <v>2099</v>
      </c>
      <c r="D456" s="101" t="s">
        <v>2036</v>
      </c>
      <c r="E456" s="101" t="s">
        <v>514</v>
      </c>
      <c r="F456" s="101" t="s">
        <v>474</v>
      </c>
      <c r="G456" s="101" t="s">
        <v>475</v>
      </c>
      <c r="H456" s="101" t="s">
        <v>561</v>
      </c>
      <c r="I456" s="101" t="s">
        <v>345</v>
      </c>
      <c r="J456" s="101" t="s">
        <v>118</v>
      </c>
      <c r="K456" s="101" t="s">
        <v>116</v>
      </c>
      <c r="L456" s="101" t="s">
        <v>1499</v>
      </c>
      <c r="M456" s="101" t="n">
        <v>23</v>
      </c>
      <c r="N456" s="101" t="n">
        <v>2.54</v>
      </c>
      <c r="O456" s="101" t="n">
        <v>53.5</v>
      </c>
      <c r="P456" s="101" t="s">
        <v>113</v>
      </c>
      <c r="Q456" s="101" t="s">
        <v>113</v>
      </c>
      <c r="R456" s="101" t="s">
        <v>124</v>
      </c>
      <c r="S456" s="101" t="s">
        <v>486</v>
      </c>
      <c r="T456" s="101" t="s">
        <v>496</v>
      </c>
      <c r="U456" s="101" t="s">
        <v>124</v>
      </c>
      <c r="V456" s="101" t="n">
        <v>925.41</v>
      </c>
    </row>
    <row r="457" customFormat="false" ht="15" hidden="false" customHeight="true" outlineLevel="0" collapsed="false">
      <c r="A457" s="101" t="s">
        <v>2100</v>
      </c>
      <c r="B457" s="101" t="s">
        <v>2101</v>
      </c>
      <c r="C457" s="101" t="s">
        <v>2102</v>
      </c>
      <c r="D457" s="101" t="s">
        <v>1719</v>
      </c>
      <c r="E457" s="101" t="s">
        <v>507</v>
      </c>
      <c r="F457" s="101" t="s">
        <v>474</v>
      </c>
      <c r="G457" s="101" t="s">
        <v>475</v>
      </c>
      <c r="H457" s="101" t="s">
        <v>484</v>
      </c>
      <c r="I457" s="101" t="s">
        <v>345</v>
      </c>
      <c r="J457" s="101" t="s">
        <v>115</v>
      </c>
      <c r="K457" s="101" t="s">
        <v>194</v>
      </c>
      <c r="L457" s="101" t="s">
        <v>1608</v>
      </c>
      <c r="M457" s="101" t="n">
        <v>236</v>
      </c>
      <c r="N457" s="101" t="n">
        <v>2.54</v>
      </c>
      <c r="O457" s="101" t="n">
        <v>12.69</v>
      </c>
      <c r="P457" s="101" t="s">
        <v>113</v>
      </c>
      <c r="Q457" s="101" t="s">
        <v>113</v>
      </c>
      <c r="R457" s="101" t="s">
        <v>124</v>
      </c>
      <c r="S457" s="101" t="n">
        <v>4</v>
      </c>
      <c r="T457" s="101" t="s">
        <v>479</v>
      </c>
      <c r="U457" s="101" t="s">
        <v>124</v>
      </c>
      <c r="V457" s="101" t="n">
        <v>193.11</v>
      </c>
    </row>
    <row r="458" customFormat="false" ht="15" hidden="false" customHeight="true" outlineLevel="0" collapsed="false">
      <c r="A458" s="101" t="s">
        <v>2103</v>
      </c>
      <c r="B458" s="101" t="s">
        <v>2104</v>
      </c>
      <c r="C458" s="101" t="s">
        <v>2105</v>
      </c>
      <c r="D458" s="101" t="s">
        <v>886</v>
      </c>
      <c r="E458" s="101" t="s">
        <v>473</v>
      </c>
      <c r="F458" s="101" t="s">
        <v>545</v>
      </c>
      <c r="G458" s="101" t="s">
        <v>546</v>
      </c>
      <c r="H458" s="101" t="s">
        <v>476</v>
      </c>
      <c r="I458" s="101" t="s">
        <v>477</v>
      </c>
      <c r="J458" s="101" t="s">
        <v>111</v>
      </c>
      <c r="K458" s="101" t="s">
        <v>194</v>
      </c>
      <c r="L458" s="101" t="s">
        <v>1537</v>
      </c>
      <c r="M458" s="101" t="n">
        <v>611</v>
      </c>
      <c r="N458" s="101" t="n">
        <v>23.57</v>
      </c>
      <c r="O458" s="101" t="n">
        <v>8.1</v>
      </c>
      <c r="P458" s="101" t="s">
        <v>113</v>
      </c>
      <c r="Q458" s="101" t="s">
        <v>113</v>
      </c>
      <c r="R458" s="101" t="s">
        <v>124</v>
      </c>
      <c r="S458" s="101" t="n">
        <v>4</v>
      </c>
      <c r="T458" s="101" t="s">
        <v>479</v>
      </c>
      <c r="U458" s="101" t="s">
        <v>124</v>
      </c>
      <c r="V458" s="101" t="n">
        <v>114.23</v>
      </c>
    </row>
    <row r="459" customFormat="false" ht="15" hidden="false" customHeight="true" outlineLevel="0" collapsed="false">
      <c r="A459" s="101" t="s">
        <v>2106</v>
      </c>
      <c r="B459" s="101" t="s">
        <v>2107</v>
      </c>
      <c r="C459" s="101" t="s">
        <v>2108</v>
      </c>
      <c r="D459" s="101" t="s">
        <v>1389</v>
      </c>
      <c r="E459" s="101" t="s">
        <v>500</v>
      </c>
      <c r="F459" s="101" t="s">
        <v>474</v>
      </c>
      <c r="G459" s="101" t="s">
        <v>475</v>
      </c>
      <c r="H459" s="101" t="s">
        <v>509</v>
      </c>
      <c r="I459" s="101" t="s">
        <v>345</v>
      </c>
      <c r="J459" s="101" t="s">
        <v>111</v>
      </c>
      <c r="K459" s="101" t="s">
        <v>120</v>
      </c>
      <c r="L459" s="101" t="s">
        <v>535</v>
      </c>
      <c r="M459" s="101" t="n">
        <v>575</v>
      </c>
      <c r="N459" s="101" t="n">
        <v>0.63</v>
      </c>
      <c r="O459" s="101" t="n">
        <v>11.2</v>
      </c>
      <c r="P459" s="101" t="s">
        <v>113</v>
      </c>
      <c r="Q459" s="101" t="s">
        <v>113</v>
      </c>
      <c r="R459" s="101" t="s">
        <v>124</v>
      </c>
      <c r="S459" s="101" t="s">
        <v>486</v>
      </c>
      <c r="T459" s="101" t="s">
        <v>479</v>
      </c>
      <c r="U459" s="101" t="s">
        <v>124</v>
      </c>
      <c r="V459" s="101" t="n">
        <v>157.95</v>
      </c>
    </row>
    <row r="460" customFormat="false" ht="15" hidden="false" customHeight="true" outlineLevel="0" collapsed="false">
      <c r="A460" s="101" t="s">
        <v>2109</v>
      </c>
      <c r="B460" s="101" t="s">
        <v>2110</v>
      </c>
      <c r="C460" s="101" t="s">
        <v>1729</v>
      </c>
      <c r="D460" s="101" t="s">
        <v>1810</v>
      </c>
      <c r="E460" s="101" t="s">
        <v>514</v>
      </c>
      <c r="F460" s="101" t="s">
        <v>530</v>
      </c>
      <c r="G460" s="101" t="s">
        <v>516</v>
      </c>
      <c r="H460" s="101" t="s">
        <v>592</v>
      </c>
      <c r="I460" s="101" t="s">
        <v>593</v>
      </c>
      <c r="J460" s="101" t="s">
        <v>115</v>
      </c>
      <c r="K460" s="101" t="s">
        <v>120</v>
      </c>
      <c r="L460" s="101" t="s">
        <v>1183</v>
      </c>
      <c r="M460" s="101" t="n">
        <v>135</v>
      </c>
      <c r="N460" s="101" t="n">
        <v>1</v>
      </c>
      <c r="O460" s="101" t="n">
        <v>6.9</v>
      </c>
      <c r="P460" s="101" t="s">
        <v>113</v>
      </c>
      <c r="Q460" s="101" t="s">
        <v>124</v>
      </c>
      <c r="R460" s="101" t="s">
        <v>124</v>
      </c>
      <c r="S460" s="101" t="n">
        <v>3</v>
      </c>
      <c r="T460" s="101" t="s">
        <v>487</v>
      </c>
      <c r="U460" s="101" t="s">
        <v>124</v>
      </c>
      <c r="V460" s="101" t="n">
        <v>105</v>
      </c>
    </row>
    <row r="461" customFormat="false" ht="15" hidden="false" customHeight="true" outlineLevel="0" collapsed="false">
      <c r="A461" s="101" t="s">
        <v>2111</v>
      </c>
      <c r="B461" s="101" t="s">
        <v>2112</v>
      </c>
      <c r="C461" s="101" t="s">
        <v>765</v>
      </c>
      <c r="D461" s="101" t="s">
        <v>988</v>
      </c>
      <c r="E461" s="101" t="s">
        <v>507</v>
      </c>
      <c r="F461" s="101" t="s">
        <v>492</v>
      </c>
      <c r="G461" s="101" t="s">
        <v>475</v>
      </c>
      <c r="H461" s="101" t="s">
        <v>493</v>
      </c>
      <c r="I461" s="101" t="s">
        <v>494</v>
      </c>
      <c r="J461" s="101" t="s">
        <v>118</v>
      </c>
      <c r="K461" s="101" t="s">
        <v>120</v>
      </c>
      <c r="L461" s="101" t="s">
        <v>1261</v>
      </c>
      <c r="M461" s="101" t="n">
        <v>118</v>
      </c>
      <c r="N461" s="101" t="n">
        <v>26.22</v>
      </c>
      <c r="O461" s="101" t="n">
        <v>16.065</v>
      </c>
      <c r="P461" s="101" t="s">
        <v>113</v>
      </c>
      <c r="Q461" s="101" t="s">
        <v>124</v>
      </c>
      <c r="R461" s="101" t="s">
        <v>124</v>
      </c>
      <c r="S461" s="101" t="n">
        <v>3</v>
      </c>
      <c r="T461" s="101" t="s">
        <v>487</v>
      </c>
      <c r="U461" s="101" t="s">
        <v>124</v>
      </c>
      <c r="V461" s="101" t="n">
        <v>277.88</v>
      </c>
    </row>
    <row r="462" customFormat="false" ht="15" hidden="false" customHeight="true" outlineLevel="0" collapsed="false">
      <c r="A462" s="101" t="s">
        <v>2113</v>
      </c>
      <c r="B462" s="101" t="s">
        <v>2114</v>
      </c>
      <c r="C462" s="101" t="s">
        <v>2115</v>
      </c>
      <c r="D462" s="101" t="s">
        <v>2116</v>
      </c>
      <c r="E462" s="101" t="s">
        <v>491</v>
      </c>
      <c r="F462" s="101" t="s">
        <v>559</v>
      </c>
      <c r="G462" s="101" t="s">
        <v>560</v>
      </c>
      <c r="H462" s="101" t="s">
        <v>509</v>
      </c>
      <c r="I462" s="101" t="s">
        <v>345</v>
      </c>
      <c r="J462" s="101" t="s">
        <v>115</v>
      </c>
      <c r="K462" s="101" t="s">
        <v>120</v>
      </c>
      <c r="L462" s="101" t="s">
        <v>1183</v>
      </c>
      <c r="M462" s="101" t="n">
        <v>293</v>
      </c>
      <c r="N462" s="101" t="n">
        <v>11.89</v>
      </c>
      <c r="O462" s="101" t="n">
        <v>10.4</v>
      </c>
      <c r="P462" s="101" t="s">
        <v>113</v>
      </c>
      <c r="Q462" s="101" t="s">
        <v>113</v>
      </c>
      <c r="R462" s="101" t="s">
        <v>124</v>
      </c>
      <c r="S462" s="101" t="n">
        <v>5</v>
      </c>
      <c r="T462" s="101" t="s">
        <v>496</v>
      </c>
      <c r="U462" s="101" t="s">
        <v>124</v>
      </c>
      <c r="V462" s="101" t="n">
        <v>158.26</v>
      </c>
    </row>
    <row r="463" customFormat="false" ht="15" hidden="false" customHeight="true" outlineLevel="0" collapsed="false">
      <c r="A463" s="101" t="s">
        <v>2117</v>
      </c>
      <c r="B463" s="101" t="s">
        <v>2118</v>
      </c>
      <c r="C463" s="101" t="s">
        <v>2119</v>
      </c>
      <c r="D463" s="101" t="s">
        <v>1428</v>
      </c>
      <c r="E463" s="101" t="s">
        <v>483</v>
      </c>
      <c r="F463" s="101" t="s">
        <v>508</v>
      </c>
      <c r="G463" s="101" t="s">
        <v>475</v>
      </c>
      <c r="H463" s="101" t="s">
        <v>644</v>
      </c>
      <c r="I463" s="101" t="s">
        <v>645</v>
      </c>
      <c r="J463" s="101" t="s">
        <v>115</v>
      </c>
      <c r="K463" s="101" t="s">
        <v>120</v>
      </c>
      <c r="L463" s="101" t="s">
        <v>518</v>
      </c>
      <c r="M463" s="101" t="n">
        <v>196</v>
      </c>
      <c r="N463" s="101" t="n">
        <v>0.36</v>
      </c>
      <c r="O463" s="101" t="n">
        <v>22.95</v>
      </c>
      <c r="P463" s="101" t="s">
        <v>113</v>
      </c>
      <c r="Q463" s="101" t="s">
        <v>124</v>
      </c>
      <c r="R463" s="101" t="s">
        <v>124</v>
      </c>
      <c r="S463" s="101" t="n">
        <v>3</v>
      </c>
      <c r="T463" s="101" t="s">
        <v>487</v>
      </c>
      <c r="U463" s="101" t="s">
        <v>124</v>
      </c>
      <c r="V463" s="101" t="n">
        <v>349.24</v>
      </c>
    </row>
    <row r="464" customFormat="false" ht="15" hidden="false" customHeight="true" outlineLevel="0" collapsed="false">
      <c r="A464" s="101" t="s">
        <v>2120</v>
      </c>
      <c r="B464" s="101" t="s">
        <v>2121</v>
      </c>
      <c r="C464" s="101" t="s">
        <v>811</v>
      </c>
      <c r="D464" s="101" t="s">
        <v>577</v>
      </c>
      <c r="E464" s="101" t="s">
        <v>500</v>
      </c>
      <c r="F464" s="101" t="s">
        <v>501</v>
      </c>
      <c r="G464" s="101" t="s">
        <v>502</v>
      </c>
      <c r="H464" s="101" t="s">
        <v>476</v>
      </c>
      <c r="I464" s="101" t="s">
        <v>477</v>
      </c>
      <c r="J464" s="101" t="s">
        <v>118</v>
      </c>
      <c r="K464" s="101" t="s">
        <v>116</v>
      </c>
      <c r="L464" s="101" t="s">
        <v>973</v>
      </c>
      <c r="M464" s="101" t="n">
        <v>89</v>
      </c>
      <c r="N464" s="101" t="n">
        <v>4.67</v>
      </c>
      <c r="O464" s="101" t="n">
        <v>28.485</v>
      </c>
      <c r="P464" s="101" t="s">
        <v>113</v>
      </c>
      <c r="Q464" s="101" t="s">
        <v>113</v>
      </c>
      <c r="R464" s="101" t="s">
        <v>124</v>
      </c>
      <c r="S464" s="101" t="n">
        <v>4</v>
      </c>
      <c r="T464" s="101" t="s">
        <v>479</v>
      </c>
      <c r="U464" s="101" t="s">
        <v>124</v>
      </c>
      <c r="V464" s="101" t="n">
        <v>492.71</v>
      </c>
    </row>
    <row r="465" customFormat="false" ht="15" hidden="false" customHeight="true" outlineLevel="0" collapsed="false">
      <c r="A465" s="101" t="s">
        <v>2122</v>
      </c>
      <c r="B465" s="101" t="s">
        <v>2123</v>
      </c>
      <c r="C465" s="101" t="s">
        <v>2124</v>
      </c>
      <c r="D465" s="101" t="s">
        <v>983</v>
      </c>
      <c r="E465" s="101" t="s">
        <v>473</v>
      </c>
      <c r="F465" s="101" t="s">
        <v>474</v>
      </c>
      <c r="G465" s="101" t="s">
        <v>475</v>
      </c>
      <c r="H465" s="101" t="s">
        <v>493</v>
      </c>
      <c r="I465" s="101" t="s">
        <v>494</v>
      </c>
      <c r="J465" s="101" t="s">
        <v>115</v>
      </c>
      <c r="K465" s="101" t="s">
        <v>120</v>
      </c>
      <c r="L465" s="101" t="s">
        <v>1168</v>
      </c>
      <c r="M465" s="101" t="n">
        <v>231</v>
      </c>
      <c r="N465" s="101" t="n">
        <v>0.67</v>
      </c>
      <c r="O465" s="101" t="n">
        <v>10.03</v>
      </c>
      <c r="P465" s="101" t="s">
        <v>113</v>
      </c>
      <c r="Q465" s="101" t="s">
        <v>124</v>
      </c>
      <c r="R465" s="101" t="s">
        <v>113</v>
      </c>
      <c r="S465" s="101" t="n">
        <v>4</v>
      </c>
      <c r="T465" s="101" t="s">
        <v>479</v>
      </c>
      <c r="U465" s="101" t="s">
        <v>124</v>
      </c>
      <c r="V465" s="101" t="n">
        <v>152.63</v>
      </c>
    </row>
    <row r="466" customFormat="false" ht="15" hidden="false" customHeight="true" outlineLevel="0" collapsed="false">
      <c r="A466" s="101" t="s">
        <v>2125</v>
      </c>
      <c r="B466" s="101" t="s">
        <v>2126</v>
      </c>
      <c r="C466" s="101" t="s">
        <v>2127</v>
      </c>
      <c r="D466" s="101" t="s">
        <v>1386</v>
      </c>
      <c r="E466" s="101" t="s">
        <v>500</v>
      </c>
      <c r="F466" s="101" t="s">
        <v>566</v>
      </c>
      <c r="G466" s="101" t="s">
        <v>546</v>
      </c>
      <c r="H466" s="101" t="s">
        <v>540</v>
      </c>
      <c r="I466" s="101" t="s">
        <v>477</v>
      </c>
      <c r="J466" s="101" t="s">
        <v>118</v>
      </c>
      <c r="K466" s="101" t="s">
        <v>194</v>
      </c>
      <c r="L466" s="101" t="s">
        <v>1332</v>
      </c>
      <c r="M466" s="101" t="n">
        <v>90</v>
      </c>
      <c r="N466" s="101" t="n">
        <v>2.96</v>
      </c>
      <c r="O466" s="101" t="n">
        <v>10.4</v>
      </c>
      <c r="P466" s="101" t="s">
        <v>113</v>
      </c>
      <c r="Q466" s="101" t="s">
        <v>113</v>
      </c>
      <c r="R466" s="101" t="s">
        <v>124</v>
      </c>
      <c r="S466" s="101" t="s">
        <v>486</v>
      </c>
      <c r="T466" s="101" t="s">
        <v>479</v>
      </c>
      <c r="U466" s="101" t="s">
        <v>124</v>
      </c>
      <c r="V466" s="101" t="n">
        <v>179.89</v>
      </c>
    </row>
    <row r="467" customFormat="false" ht="15" hidden="false" customHeight="true" outlineLevel="0" collapsed="false">
      <c r="A467" s="101" t="s">
        <v>2128</v>
      </c>
      <c r="B467" s="101" t="s">
        <v>2129</v>
      </c>
      <c r="C467" s="101" t="s">
        <v>2130</v>
      </c>
      <c r="D467" s="101" t="s">
        <v>756</v>
      </c>
      <c r="E467" s="101" t="s">
        <v>473</v>
      </c>
      <c r="F467" s="101" t="s">
        <v>545</v>
      </c>
      <c r="G467" s="101" t="s">
        <v>546</v>
      </c>
      <c r="H467" s="101" t="s">
        <v>727</v>
      </c>
      <c r="I467" s="101" t="s">
        <v>645</v>
      </c>
      <c r="J467" s="101" t="s">
        <v>111</v>
      </c>
      <c r="K467" s="101" t="s">
        <v>120</v>
      </c>
      <c r="L467" s="101" t="s">
        <v>1175</v>
      </c>
      <c r="M467" s="101" t="n">
        <v>315</v>
      </c>
      <c r="N467" s="101" t="n">
        <v>15.14</v>
      </c>
      <c r="O467" s="101" t="n">
        <v>5.2</v>
      </c>
      <c r="P467" s="101" t="s">
        <v>113</v>
      </c>
      <c r="Q467" s="101" t="s">
        <v>124</v>
      </c>
      <c r="R467" s="101" t="s">
        <v>124</v>
      </c>
      <c r="S467" s="101" t="n">
        <v>4</v>
      </c>
      <c r="T467" s="101" t="s">
        <v>479</v>
      </c>
      <c r="U467" s="101" t="s">
        <v>124</v>
      </c>
      <c r="V467" s="101" t="n">
        <v>73.33</v>
      </c>
    </row>
    <row r="468" customFormat="false" ht="15" hidden="false" customHeight="true" outlineLevel="0" collapsed="false">
      <c r="A468" s="101" t="s">
        <v>2131</v>
      </c>
      <c r="B468" s="101" t="s">
        <v>1712</v>
      </c>
      <c r="C468" s="101" t="s">
        <v>667</v>
      </c>
      <c r="D468" s="101" t="s">
        <v>620</v>
      </c>
      <c r="E468" s="101" t="s">
        <v>539</v>
      </c>
      <c r="F468" s="101" t="s">
        <v>474</v>
      </c>
      <c r="G468" s="101" t="s">
        <v>475</v>
      </c>
      <c r="H468" s="101" t="s">
        <v>476</v>
      </c>
      <c r="I468" s="101" t="s">
        <v>477</v>
      </c>
      <c r="J468" s="101" t="s">
        <v>111</v>
      </c>
      <c r="K468" s="101" t="s">
        <v>194</v>
      </c>
      <c r="L468" s="101" t="s">
        <v>2018</v>
      </c>
      <c r="M468" s="101" t="n">
        <v>683</v>
      </c>
      <c r="N468" s="101" t="n">
        <v>8.85</v>
      </c>
      <c r="O468" s="101" t="n">
        <v>21.465</v>
      </c>
      <c r="P468" s="101" t="s">
        <v>113</v>
      </c>
      <c r="Q468" s="101" t="s">
        <v>113</v>
      </c>
      <c r="R468" s="101" t="s">
        <v>124</v>
      </c>
      <c r="S468" s="101" t="n">
        <v>3</v>
      </c>
      <c r="T468" s="101" t="s">
        <v>487</v>
      </c>
      <c r="U468" s="101" t="s">
        <v>124</v>
      </c>
      <c r="V468" s="101" t="n">
        <v>302.71</v>
      </c>
    </row>
    <row r="469" customFormat="false" ht="15" hidden="false" customHeight="true" outlineLevel="0" collapsed="false">
      <c r="A469" s="101" t="s">
        <v>2132</v>
      </c>
      <c r="B469" s="101" t="s">
        <v>719</v>
      </c>
      <c r="C469" s="101" t="s">
        <v>720</v>
      </c>
      <c r="D469" s="101" t="s">
        <v>703</v>
      </c>
      <c r="E469" s="101" t="s">
        <v>539</v>
      </c>
      <c r="F469" s="101" t="s">
        <v>508</v>
      </c>
      <c r="G469" s="101" t="s">
        <v>475</v>
      </c>
      <c r="H469" s="101" t="s">
        <v>517</v>
      </c>
      <c r="I469" s="101" t="s">
        <v>345</v>
      </c>
      <c r="J469" s="101" t="s">
        <v>115</v>
      </c>
      <c r="K469" s="101" t="s">
        <v>120</v>
      </c>
      <c r="L469" s="101" t="s">
        <v>994</v>
      </c>
      <c r="M469" s="101" t="n">
        <v>194</v>
      </c>
      <c r="N469" s="101" t="n">
        <v>0.67</v>
      </c>
      <c r="O469" s="101" t="n">
        <v>4.2</v>
      </c>
      <c r="P469" s="101" t="s">
        <v>113</v>
      </c>
      <c r="Q469" s="101" t="s">
        <v>113</v>
      </c>
      <c r="R469" s="101" t="s">
        <v>124</v>
      </c>
      <c r="S469" s="101" t="n">
        <v>5</v>
      </c>
      <c r="T469" s="101" t="s">
        <v>496</v>
      </c>
      <c r="U469" s="101" t="s">
        <v>124</v>
      </c>
      <c r="V469" s="101" t="n">
        <v>63.91</v>
      </c>
    </row>
    <row r="470" customFormat="false" ht="15" hidden="false" customHeight="true" outlineLevel="0" collapsed="false">
      <c r="A470" s="101" t="s">
        <v>2133</v>
      </c>
      <c r="B470" s="101" t="s">
        <v>2134</v>
      </c>
      <c r="C470" s="101" t="s">
        <v>2059</v>
      </c>
      <c r="D470" s="101" t="s">
        <v>2135</v>
      </c>
      <c r="E470" s="101" t="s">
        <v>500</v>
      </c>
      <c r="F470" s="101" t="s">
        <v>474</v>
      </c>
      <c r="G470" s="101" t="s">
        <v>475</v>
      </c>
      <c r="H470" s="101" t="s">
        <v>673</v>
      </c>
      <c r="I470" s="101" t="s">
        <v>645</v>
      </c>
      <c r="J470" s="101" t="s">
        <v>118</v>
      </c>
      <c r="K470" s="101" t="s">
        <v>120</v>
      </c>
      <c r="L470" s="101" t="s">
        <v>1048</v>
      </c>
      <c r="M470" s="101" t="n">
        <v>85</v>
      </c>
      <c r="N470" s="101" t="n">
        <v>0.17</v>
      </c>
      <c r="O470" s="101" t="n">
        <v>38.4</v>
      </c>
      <c r="P470" s="101" t="s">
        <v>113</v>
      </c>
      <c r="Q470" s="101" t="s">
        <v>113</v>
      </c>
      <c r="R470" s="101" t="s">
        <v>124</v>
      </c>
      <c r="S470" s="101" t="n">
        <v>4</v>
      </c>
      <c r="T470" s="101" t="s">
        <v>479</v>
      </c>
      <c r="U470" s="101" t="s">
        <v>124</v>
      </c>
      <c r="V470" s="101" t="n">
        <v>664.22</v>
      </c>
    </row>
    <row r="471" customFormat="false" ht="15" hidden="false" customHeight="true" outlineLevel="0" collapsed="false">
      <c r="A471" s="101" t="s">
        <v>2136</v>
      </c>
      <c r="B471" s="101" t="s">
        <v>2137</v>
      </c>
      <c r="C471" s="101" t="s">
        <v>2138</v>
      </c>
      <c r="D471" s="102" t="n">
        <v>45911.6423611111</v>
      </c>
      <c r="E471" s="101" t="s">
        <v>483</v>
      </c>
      <c r="F471" s="101" t="s">
        <v>559</v>
      </c>
      <c r="G471" s="101" t="s">
        <v>560</v>
      </c>
      <c r="H471" s="101" t="s">
        <v>561</v>
      </c>
      <c r="I471" s="101" t="s">
        <v>345</v>
      </c>
      <c r="J471" s="101" t="s">
        <v>133</v>
      </c>
      <c r="K471" s="101"/>
      <c r="L471" s="101" t="s">
        <v>547</v>
      </c>
      <c r="M471" s="101" t="n">
        <v>26</v>
      </c>
      <c r="N471" s="101" t="n">
        <v>1.73</v>
      </c>
      <c r="O471" s="101" t="n">
        <v>4.1</v>
      </c>
      <c r="P471" s="101" t="s">
        <v>113</v>
      </c>
      <c r="Q471" s="101" t="s">
        <v>113</v>
      </c>
      <c r="R471" s="101" t="s">
        <v>124</v>
      </c>
      <c r="S471" s="101" t="n">
        <v>5</v>
      </c>
      <c r="T471" s="101" t="s">
        <v>496</v>
      </c>
      <c r="U471" s="101" t="s">
        <v>124</v>
      </c>
      <c r="V471" s="101" t="n">
        <v>19.68</v>
      </c>
    </row>
    <row r="472" customFormat="false" ht="15" hidden="false" customHeight="true" outlineLevel="0" collapsed="false">
      <c r="A472" s="101" t="s">
        <v>2139</v>
      </c>
      <c r="B472" s="101" t="s">
        <v>2140</v>
      </c>
      <c r="C472" s="101" t="s">
        <v>1555</v>
      </c>
      <c r="D472" s="101" t="s">
        <v>601</v>
      </c>
      <c r="E472" s="101" t="s">
        <v>473</v>
      </c>
      <c r="F472" s="101" t="s">
        <v>545</v>
      </c>
      <c r="G472" s="101" t="s">
        <v>546</v>
      </c>
      <c r="H472" s="101" t="s">
        <v>484</v>
      </c>
      <c r="I472" s="101" t="s">
        <v>345</v>
      </c>
      <c r="J472" s="101" t="s">
        <v>115</v>
      </c>
      <c r="K472" s="101" t="s">
        <v>112</v>
      </c>
      <c r="L472" s="101" t="s">
        <v>717</v>
      </c>
      <c r="M472" s="101" t="n">
        <v>112</v>
      </c>
      <c r="N472" s="101" t="n">
        <v>5.49</v>
      </c>
      <c r="O472" s="101" t="n">
        <v>5.94</v>
      </c>
      <c r="P472" s="101" t="s">
        <v>113</v>
      </c>
      <c r="Q472" s="101" t="s">
        <v>124</v>
      </c>
      <c r="R472" s="101" t="s">
        <v>124</v>
      </c>
      <c r="S472" s="101" t="n">
        <v>4</v>
      </c>
      <c r="T472" s="101" t="s">
        <v>479</v>
      </c>
      <c r="U472" s="101" t="s">
        <v>124</v>
      </c>
      <c r="V472" s="101" t="n">
        <v>90.39</v>
      </c>
    </row>
    <row r="473" customFormat="false" ht="15" hidden="false" customHeight="true" outlineLevel="0" collapsed="false">
      <c r="A473" s="101" t="s">
        <v>2141</v>
      </c>
      <c r="B473" s="101" t="s">
        <v>2142</v>
      </c>
      <c r="C473" s="101" t="s">
        <v>2143</v>
      </c>
      <c r="D473" s="101" t="s">
        <v>1134</v>
      </c>
      <c r="E473" s="101" t="s">
        <v>473</v>
      </c>
      <c r="F473" s="101" t="s">
        <v>492</v>
      </c>
      <c r="G473" s="101" t="s">
        <v>475</v>
      </c>
      <c r="H473" s="101" t="s">
        <v>476</v>
      </c>
      <c r="I473" s="101" t="s">
        <v>477</v>
      </c>
      <c r="J473" s="101" t="s">
        <v>115</v>
      </c>
      <c r="K473" s="101" t="s">
        <v>120</v>
      </c>
      <c r="L473" s="101" t="s">
        <v>567</v>
      </c>
      <c r="M473" s="101" t="n">
        <v>144</v>
      </c>
      <c r="N473" s="101" t="n">
        <v>2.86</v>
      </c>
      <c r="O473" s="101" t="n">
        <v>21.33</v>
      </c>
      <c r="P473" s="101" t="s">
        <v>113</v>
      </c>
      <c r="Q473" s="101" t="s">
        <v>113</v>
      </c>
      <c r="R473" s="101" t="s">
        <v>124</v>
      </c>
      <c r="S473" s="101" t="n">
        <v>4</v>
      </c>
      <c r="T473" s="101" t="s">
        <v>479</v>
      </c>
      <c r="U473" s="101" t="s">
        <v>124</v>
      </c>
      <c r="V473" s="101" t="n">
        <v>324.59</v>
      </c>
    </row>
    <row r="474" customFormat="false" ht="15" hidden="false" customHeight="true" outlineLevel="0" collapsed="false">
      <c r="A474" s="101" t="s">
        <v>2144</v>
      </c>
      <c r="B474" s="101" t="s">
        <v>2145</v>
      </c>
      <c r="C474" s="101" t="s">
        <v>2146</v>
      </c>
      <c r="D474" s="101" t="s">
        <v>708</v>
      </c>
      <c r="E474" s="101" t="s">
        <v>500</v>
      </c>
      <c r="F474" s="101" t="s">
        <v>492</v>
      </c>
      <c r="G474" s="101" t="s">
        <v>475</v>
      </c>
      <c r="H474" s="101" t="s">
        <v>673</v>
      </c>
      <c r="I474" s="101" t="s">
        <v>645</v>
      </c>
      <c r="J474" s="101" t="s">
        <v>118</v>
      </c>
      <c r="K474" s="101" t="s">
        <v>199</v>
      </c>
      <c r="L474" s="101" t="s">
        <v>1164</v>
      </c>
      <c r="M474" s="101" t="n">
        <v>38</v>
      </c>
      <c r="N474" s="101" t="n">
        <v>1</v>
      </c>
      <c r="O474" s="101" t="n">
        <v>10.8</v>
      </c>
      <c r="P474" s="101" t="s">
        <v>113</v>
      </c>
      <c r="Q474" s="101" t="s">
        <v>124</v>
      </c>
      <c r="R474" s="101" t="s">
        <v>124</v>
      </c>
      <c r="S474" s="101" t="n">
        <v>3</v>
      </c>
      <c r="T474" s="101" t="s">
        <v>487</v>
      </c>
      <c r="U474" s="101" t="s">
        <v>124</v>
      </c>
      <c r="V474" s="101" t="n">
        <v>186.81</v>
      </c>
    </row>
    <row r="475" customFormat="false" ht="15" hidden="false" customHeight="true" outlineLevel="0" collapsed="false">
      <c r="A475" s="101" t="s">
        <v>2147</v>
      </c>
      <c r="B475" s="101" t="s">
        <v>2148</v>
      </c>
      <c r="C475" s="101" t="s">
        <v>2149</v>
      </c>
      <c r="D475" s="101" t="s">
        <v>1091</v>
      </c>
      <c r="E475" s="101" t="s">
        <v>539</v>
      </c>
      <c r="F475" s="101" t="s">
        <v>508</v>
      </c>
      <c r="G475" s="101" t="s">
        <v>475</v>
      </c>
      <c r="H475" s="101" t="s">
        <v>517</v>
      </c>
      <c r="I475" s="101" t="s">
        <v>345</v>
      </c>
      <c r="J475" s="101" t="s">
        <v>111</v>
      </c>
      <c r="K475" s="101" t="s">
        <v>120</v>
      </c>
      <c r="L475" s="101" t="s">
        <v>518</v>
      </c>
      <c r="M475" s="101" t="n">
        <v>650</v>
      </c>
      <c r="N475" s="101" t="n">
        <v>0.47</v>
      </c>
      <c r="O475" s="101" t="n">
        <v>12.2</v>
      </c>
      <c r="P475" s="101" t="s">
        <v>113</v>
      </c>
      <c r="Q475" s="101" t="s">
        <v>113</v>
      </c>
      <c r="R475" s="101" t="s">
        <v>124</v>
      </c>
      <c r="S475" s="101" t="n">
        <v>5</v>
      </c>
      <c r="T475" s="101" t="s">
        <v>496</v>
      </c>
      <c r="U475" s="101" t="s">
        <v>124</v>
      </c>
      <c r="V475" s="101" t="n">
        <v>172.05</v>
      </c>
    </row>
    <row r="476" customFormat="false" ht="15" hidden="false" customHeight="true" outlineLevel="0" collapsed="false">
      <c r="A476" s="101" t="s">
        <v>2150</v>
      </c>
      <c r="B476" s="101" t="s">
        <v>2151</v>
      </c>
      <c r="C476" s="101" t="s">
        <v>2152</v>
      </c>
      <c r="D476" s="101" t="s">
        <v>2153</v>
      </c>
      <c r="E476" s="101" t="s">
        <v>507</v>
      </c>
      <c r="F476" s="101" t="s">
        <v>508</v>
      </c>
      <c r="G476" s="101" t="s">
        <v>475</v>
      </c>
      <c r="H476" s="101" t="s">
        <v>561</v>
      </c>
      <c r="I476" s="101" t="s">
        <v>345</v>
      </c>
      <c r="J476" s="101" t="s">
        <v>115</v>
      </c>
      <c r="K476" s="101" t="s">
        <v>199</v>
      </c>
      <c r="L476" s="101" t="s">
        <v>1481</v>
      </c>
      <c r="M476" s="101" t="n">
        <v>164</v>
      </c>
      <c r="N476" s="101" t="n">
        <v>0.73</v>
      </c>
      <c r="O476" s="101" t="n">
        <v>8.3</v>
      </c>
      <c r="P476" s="101" t="s">
        <v>113</v>
      </c>
      <c r="Q476" s="101" t="s">
        <v>113</v>
      </c>
      <c r="R476" s="101" t="s">
        <v>124</v>
      </c>
      <c r="S476" s="101" t="s">
        <v>486</v>
      </c>
      <c r="T476" s="101" t="s">
        <v>496</v>
      </c>
      <c r="U476" s="101" t="s">
        <v>124</v>
      </c>
      <c r="V476" s="101" t="n">
        <v>126.3</v>
      </c>
    </row>
    <row r="477" customFormat="false" ht="15" hidden="false" customHeight="true" outlineLevel="0" collapsed="false">
      <c r="A477" s="101" t="s">
        <v>2154</v>
      </c>
      <c r="B477" s="101" t="s">
        <v>2155</v>
      </c>
      <c r="C477" s="101" t="s">
        <v>2156</v>
      </c>
      <c r="D477" s="101" t="s">
        <v>1817</v>
      </c>
      <c r="E477" s="101" t="s">
        <v>483</v>
      </c>
      <c r="F477" s="101" t="s">
        <v>545</v>
      </c>
      <c r="G477" s="101" t="s">
        <v>546</v>
      </c>
      <c r="H477" s="101" t="s">
        <v>540</v>
      </c>
      <c r="I477" s="101" t="s">
        <v>477</v>
      </c>
      <c r="J477" s="101" t="s">
        <v>123</v>
      </c>
      <c r="K477" s="101" t="s">
        <v>112</v>
      </c>
      <c r="L477" s="101" t="s">
        <v>1740</v>
      </c>
      <c r="M477" s="101" t="n">
        <v>11604</v>
      </c>
      <c r="N477" s="101" t="n">
        <v>8.78</v>
      </c>
      <c r="O477" s="101" t="n">
        <v>76.6</v>
      </c>
      <c r="P477" s="101" t="s">
        <v>113</v>
      </c>
      <c r="Q477" s="101" t="s">
        <v>113</v>
      </c>
      <c r="R477" s="101" t="s">
        <v>124</v>
      </c>
      <c r="S477" s="101" t="n">
        <v>4</v>
      </c>
      <c r="T477" s="101" t="s">
        <v>479</v>
      </c>
      <c r="U477" s="101" t="s">
        <v>124</v>
      </c>
      <c r="V477" s="101" t="n">
        <v>574.5</v>
      </c>
    </row>
    <row r="478" customFormat="false" ht="15" hidden="false" customHeight="true" outlineLevel="0" collapsed="false">
      <c r="A478" s="101" t="s">
        <v>2157</v>
      </c>
      <c r="B478" s="101" t="s">
        <v>2158</v>
      </c>
      <c r="C478" s="101" t="s">
        <v>2159</v>
      </c>
      <c r="D478" s="101" t="s">
        <v>1372</v>
      </c>
      <c r="E478" s="101" t="s">
        <v>500</v>
      </c>
      <c r="F478" s="101" t="s">
        <v>566</v>
      </c>
      <c r="G478" s="101" t="s">
        <v>546</v>
      </c>
      <c r="H478" s="101" t="s">
        <v>484</v>
      </c>
      <c r="I478" s="101" t="s">
        <v>345</v>
      </c>
      <c r="J478" s="101" t="s">
        <v>118</v>
      </c>
      <c r="K478" s="101" t="s">
        <v>120</v>
      </c>
      <c r="L478" s="101" t="s">
        <v>1183</v>
      </c>
      <c r="M478" s="101" t="n">
        <v>115</v>
      </c>
      <c r="N478" s="101" t="n">
        <v>8.9</v>
      </c>
      <c r="O478" s="101" t="n">
        <v>60.345</v>
      </c>
      <c r="P478" s="101" t="s">
        <v>113</v>
      </c>
      <c r="Q478" s="101" t="s">
        <v>124</v>
      </c>
      <c r="R478" s="101" t="s">
        <v>113</v>
      </c>
      <c r="S478" s="101"/>
      <c r="T478" s="101" t="s">
        <v>479</v>
      </c>
      <c r="U478" s="101" t="s">
        <v>124</v>
      </c>
      <c r="V478" s="101" t="n">
        <v>1043.81</v>
      </c>
    </row>
    <row r="479" customFormat="false" ht="15" hidden="false" customHeight="true" outlineLevel="0" collapsed="false">
      <c r="A479" s="101" t="s">
        <v>2160</v>
      </c>
      <c r="B479" s="101" t="s">
        <v>2161</v>
      </c>
      <c r="C479" s="101" t="s">
        <v>2162</v>
      </c>
      <c r="D479" s="101" t="s">
        <v>1357</v>
      </c>
      <c r="E479" s="101" t="s">
        <v>500</v>
      </c>
      <c r="F479" s="101" t="s">
        <v>559</v>
      </c>
      <c r="G479" s="101" t="s">
        <v>560</v>
      </c>
      <c r="H479" s="101" t="s">
        <v>673</v>
      </c>
      <c r="I479" s="101" t="s">
        <v>645</v>
      </c>
      <c r="J479" s="101" t="s">
        <v>111</v>
      </c>
      <c r="K479" s="101" t="s">
        <v>199</v>
      </c>
      <c r="L479" s="101" t="s">
        <v>664</v>
      </c>
      <c r="M479" s="101" t="n">
        <v>98</v>
      </c>
      <c r="N479" s="101" t="n">
        <v>8.29</v>
      </c>
      <c r="O479" s="101" t="n">
        <v>8.9</v>
      </c>
      <c r="P479" s="101" t="s">
        <v>113</v>
      </c>
      <c r="Q479" s="101" t="s">
        <v>113</v>
      </c>
      <c r="R479" s="101" t="s">
        <v>124</v>
      </c>
      <c r="S479" s="101"/>
      <c r="T479" s="101" t="s">
        <v>487</v>
      </c>
      <c r="U479" s="101" t="s">
        <v>124</v>
      </c>
      <c r="V479" s="101" t="n">
        <v>125.51</v>
      </c>
    </row>
    <row r="480" customFormat="false" ht="15" hidden="false" customHeight="true" outlineLevel="0" collapsed="false">
      <c r="A480" s="101" t="s">
        <v>2163</v>
      </c>
      <c r="B480" s="101" t="s">
        <v>2164</v>
      </c>
      <c r="C480" s="101" t="s">
        <v>2030</v>
      </c>
      <c r="D480" s="101" t="s">
        <v>859</v>
      </c>
      <c r="E480" s="101" t="s">
        <v>483</v>
      </c>
      <c r="F480" s="101" t="s">
        <v>474</v>
      </c>
      <c r="G480" s="101" t="s">
        <v>475</v>
      </c>
      <c r="H480" s="101" t="s">
        <v>484</v>
      </c>
      <c r="I480" s="101" t="s">
        <v>345</v>
      </c>
      <c r="J480" s="101" t="s">
        <v>111</v>
      </c>
      <c r="K480" s="101" t="s">
        <v>120</v>
      </c>
      <c r="L480" s="101" t="s">
        <v>821</v>
      </c>
      <c r="M480" s="101" t="n">
        <v>613</v>
      </c>
      <c r="N480" s="101" t="n">
        <v>8.46</v>
      </c>
      <c r="O480" s="101" t="n">
        <v>5.4</v>
      </c>
      <c r="P480" s="101" t="s">
        <v>113</v>
      </c>
      <c r="Q480" s="101" t="s">
        <v>113</v>
      </c>
      <c r="R480" s="101" t="s">
        <v>124</v>
      </c>
      <c r="S480" s="101" t="s">
        <v>486</v>
      </c>
      <c r="T480" s="101" t="s">
        <v>479</v>
      </c>
      <c r="U480" s="101" t="s">
        <v>124</v>
      </c>
      <c r="V480" s="101" t="n">
        <v>76.15</v>
      </c>
    </row>
    <row r="481" customFormat="false" ht="15" hidden="false" customHeight="true" outlineLevel="0" collapsed="false">
      <c r="A481" s="101" t="s">
        <v>2165</v>
      </c>
      <c r="B481" s="101" t="s">
        <v>2166</v>
      </c>
      <c r="C481" s="101" t="s">
        <v>2167</v>
      </c>
      <c r="D481" s="101" t="s">
        <v>756</v>
      </c>
      <c r="E481" s="101" t="s">
        <v>473</v>
      </c>
      <c r="F481" s="101" t="s">
        <v>566</v>
      </c>
      <c r="G481" s="101" t="s">
        <v>546</v>
      </c>
      <c r="H481" s="101" t="s">
        <v>517</v>
      </c>
      <c r="I481" s="101" t="s">
        <v>345</v>
      </c>
      <c r="J481" s="101" t="s">
        <v>118</v>
      </c>
      <c r="K481" s="101" t="s">
        <v>116</v>
      </c>
      <c r="L481" s="101" t="s">
        <v>1605</v>
      </c>
      <c r="M481" s="101" t="n">
        <v>17</v>
      </c>
      <c r="N481" s="101" t="n">
        <v>1.56</v>
      </c>
      <c r="O481" s="101" t="n">
        <v>6.5</v>
      </c>
      <c r="P481" s="101" t="s">
        <v>113</v>
      </c>
      <c r="Q481" s="101" t="s">
        <v>124</v>
      </c>
      <c r="R481" s="101" t="s">
        <v>113</v>
      </c>
      <c r="S481" s="101" t="n">
        <v>3</v>
      </c>
      <c r="T481" s="101" t="s">
        <v>487</v>
      </c>
      <c r="U481" s="101" t="s">
        <v>124</v>
      </c>
      <c r="V481" s="101" t="n">
        <v>112.43</v>
      </c>
    </row>
    <row r="482" customFormat="false" ht="15" hidden="false" customHeight="true" outlineLevel="0" collapsed="false">
      <c r="A482" s="101" t="s">
        <v>2168</v>
      </c>
      <c r="B482" s="101" t="s">
        <v>2169</v>
      </c>
      <c r="C482" s="101" t="s">
        <v>2170</v>
      </c>
      <c r="D482" s="101" t="s">
        <v>988</v>
      </c>
      <c r="E482" s="101" t="s">
        <v>507</v>
      </c>
      <c r="F482" s="101" t="s">
        <v>566</v>
      </c>
      <c r="G482" s="101" t="s">
        <v>546</v>
      </c>
      <c r="H482" s="101" t="s">
        <v>484</v>
      </c>
      <c r="I482" s="101" t="s">
        <v>345</v>
      </c>
      <c r="J482" s="101" t="s">
        <v>123</v>
      </c>
      <c r="K482" s="101" t="s">
        <v>199</v>
      </c>
      <c r="L482" s="101" t="s">
        <v>846</v>
      </c>
      <c r="M482" s="101" t="n">
        <v>17716</v>
      </c>
      <c r="N482" s="101" t="n">
        <v>1.42</v>
      </c>
      <c r="O482" s="101" t="n">
        <v>21.195</v>
      </c>
      <c r="P482" s="101" t="s">
        <v>124</v>
      </c>
      <c r="Q482" s="101" t="s">
        <v>124</v>
      </c>
      <c r="R482" s="101" t="s">
        <v>124</v>
      </c>
      <c r="S482" s="101"/>
      <c r="T482" s="101" t="s">
        <v>616</v>
      </c>
      <c r="U482" s="101" t="s">
        <v>124</v>
      </c>
      <c r="V482" s="101" t="n">
        <v>158.96</v>
      </c>
    </row>
    <row r="483" customFormat="false" ht="15" hidden="false" customHeight="true" outlineLevel="0" collapsed="false">
      <c r="A483" s="101" t="s">
        <v>2171</v>
      </c>
      <c r="B483" s="101" t="s">
        <v>2172</v>
      </c>
      <c r="C483" s="101" t="s">
        <v>662</v>
      </c>
      <c r="D483" s="101" t="s">
        <v>2135</v>
      </c>
      <c r="E483" s="101" t="s">
        <v>500</v>
      </c>
      <c r="F483" s="101" t="s">
        <v>740</v>
      </c>
      <c r="G483" s="101" t="s">
        <v>560</v>
      </c>
      <c r="H483" s="101" t="s">
        <v>484</v>
      </c>
      <c r="I483" s="101" t="s">
        <v>345</v>
      </c>
      <c r="J483" s="101" t="s">
        <v>118</v>
      </c>
      <c r="K483" s="101" t="s">
        <v>120</v>
      </c>
      <c r="L483" s="101" t="s">
        <v>1092</v>
      </c>
      <c r="M483" s="101" t="n">
        <v>24</v>
      </c>
      <c r="N483" s="101" t="n">
        <v>7.4</v>
      </c>
      <c r="O483" s="101" t="n">
        <v>24.03</v>
      </c>
      <c r="P483" s="101" t="s">
        <v>113</v>
      </c>
      <c r="Q483" s="101" t="s">
        <v>113</v>
      </c>
      <c r="R483" s="101" t="s">
        <v>124</v>
      </c>
      <c r="S483" s="101" t="n">
        <v>4</v>
      </c>
      <c r="T483" s="101" t="s">
        <v>479</v>
      </c>
      <c r="U483" s="101" t="s">
        <v>124</v>
      </c>
      <c r="V483" s="101" t="n">
        <v>415.65</v>
      </c>
    </row>
    <row r="484" customFormat="false" ht="15" hidden="false" customHeight="true" outlineLevel="0" collapsed="false">
      <c r="A484" s="101" t="s">
        <v>2173</v>
      </c>
      <c r="B484" s="101" t="s">
        <v>2174</v>
      </c>
      <c r="C484" s="101" t="s">
        <v>2175</v>
      </c>
      <c r="D484" s="101" t="s">
        <v>1260</v>
      </c>
      <c r="E484" s="101" t="s">
        <v>514</v>
      </c>
      <c r="F484" s="101" t="s">
        <v>530</v>
      </c>
      <c r="G484" s="101" t="s">
        <v>516</v>
      </c>
      <c r="H484" s="101" t="s">
        <v>509</v>
      </c>
      <c r="I484" s="101" t="s">
        <v>345</v>
      </c>
      <c r="J484" s="101" t="s">
        <v>115</v>
      </c>
      <c r="K484" s="101" t="s">
        <v>112</v>
      </c>
      <c r="L484" s="101" t="s">
        <v>1155</v>
      </c>
      <c r="M484" s="101" t="n">
        <v>286</v>
      </c>
      <c r="N484" s="101" t="n">
        <v>1.06</v>
      </c>
      <c r="O484" s="101" t="n">
        <v>7.4</v>
      </c>
      <c r="P484" s="101" t="s">
        <v>113</v>
      </c>
      <c r="Q484" s="101" t="s">
        <v>113</v>
      </c>
      <c r="R484" s="101" t="s">
        <v>124</v>
      </c>
      <c r="S484" s="101" t="s">
        <v>486</v>
      </c>
      <c r="T484" s="101" t="s">
        <v>487</v>
      </c>
      <c r="U484" s="101" t="s">
        <v>124</v>
      </c>
      <c r="V484" s="101" t="n">
        <v>112.61</v>
      </c>
    </row>
    <row r="485" customFormat="false" ht="15" hidden="false" customHeight="true" outlineLevel="0" collapsed="false">
      <c r="A485" s="101" t="s">
        <v>2176</v>
      </c>
      <c r="B485" s="101" t="s">
        <v>2177</v>
      </c>
      <c r="C485" s="101" t="s">
        <v>2178</v>
      </c>
      <c r="D485" s="101" t="s">
        <v>2179</v>
      </c>
      <c r="E485" s="101" t="s">
        <v>507</v>
      </c>
      <c r="F485" s="101" t="s">
        <v>545</v>
      </c>
      <c r="G485" s="101" t="s">
        <v>546</v>
      </c>
      <c r="H485" s="101" t="s">
        <v>484</v>
      </c>
      <c r="I485" s="101" t="s">
        <v>345</v>
      </c>
      <c r="J485" s="101" t="s">
        <v>118</v>
      </c>
      <c r="K485" s="101" t="s">
        <v>112</v>
      </c>
      <c r="L485" s="101" t="s">
        <v>685</v>
      </c>
      <c r="M485" s="101" t="n">
        <v>60</v>
      </c>
      <c r="N485" s="101" t="n">
        <v>6.66</v>
      </c>
      <c r="O485" s="101" t="n">
        <v>32.535</v>
      </c>
      <c r="P485" s="101" t="s">
        <v>113</v>
      </c>
      <c r="Q485" s="101" t="s">
        <v>113</v>
      </c>
      <c r="R485" s="101" t="s">
        <v>124</v>
      </c>
      <c r="S485" s="101" t="n">
        <v>3</v>
      </c>
      <c r="T485" s="101" t="s">
        <v>487</v>
      </c>
      <c r="U485" s="101" t="s">
        <v>124</v>
      </c>
      <c r="V485" s="101" t="n">
        <v>562.77</v>
      </c>
    </row>
    <row r="486" customFormat="false" ht="15" hidden="false" customHeight="true" outlineLevel="0" collapsed="false">
      <c r="A486" s="101" t="s">
        <v>2180</v>
      </c>
      <c r="B486" s="101" t="s">
        <v>2181</v>
      </c>
      <c r="C486" s="101" t="s">
        <v>1251</v>
      </c>
      <c r="D486" s="101" t="s">
        <v>756</v>
      </c>
      <c r="E486" s="101" t="s">
        <v>473</v>
      </c>
      <c r="F486" s="101" t="s">
        <v>492</v>
      </c>
      <c r="G486" s="101" t="s">
        <v>475</v>
      </c>
      <c r="H486" s="101" t="s">
        <v>509</v>
      </c>
      <c r="I486" s="101" t="s">
        <v>345</v>
      </c>
      <c r="J486" s="101" t="s">
        <v>133</v>
      </c>
      <c r="K486" s="101"/>
      <c r="L486" s="101" t="s">
        <v>547</v>
      </c>
      <c r="M486" s="101" t="n">
        <v>23</v>
      </c>
      <c r="N486" s="101" t="n">
        <v>2.73</v>
      </c>
      <c r="O486" s="101" t="n">
        <v>2.5</v>
      </c>
      <c r="P486" s="101" t="s">
        <v>113</v>
      </c>
      <c r="Q486" s="101" t="s">
        <v>124</v>
      </c>
      <c r="R486" s="101" t="s">
        <v>113</v>
      </c>
      <c r="S486" s="101" t="n">
        <v>3</v>
      </c>
      <c r="T486" s="101" t="s">
        <v>487</v>
      </c>
      <c r="U486" s="101" t="s">
        <v>124</v>
      </c>
      <c r="V486" s="101" t="n">
        <v>12</v>
      </c>
    </row>
    <row r="487" customFormat="false" ht="15" hidden="false" customHeight="true" outlineLevel="0" collapsed="false">
      <c r="A487" s="101" t="s">
        <v>2182</v>
      </c>
      <c r="B487" s="101" t="s">
        <v>2183</v>
      </c>
      <c r="C487" s="101" t="s">
        <v>2184</v>
      </c>
      <c r="D487" s="101" t="s">
        <v>577</v>
      </c>
      <c r="E487" s="101" t="s">
        <v>500</v>
      </c>
      <c r="F487" s="101" t="s">
        <v>474</v>
      </c>
      <c r="G487" s="101" t="s">
        <v>475</v>
      </c>
      <c r="H487" s="101" t="s">
        <v>561</v>
      </c>
      <c r="I487" s="101" t="s">
        <v>345</v>
      </c>
      <c r="J487" s="101" t="s">
        <v>111</v>
      </c>
      <c r="K487" s="101" t="s">
        <v>112</v>
      </c>
      <c r="L487" s="101" t="s">
        <v>510</v>
      </c>
      <c r="M487" s="101" t="n">
        <v>72</v>
      </c>
      <c r="N487" s="101" t="n">
        <v>0.29</v>
      </c>
      <c r="O487" s="101" t="n">
        <v>5.2</v>
      </c>
      <c r="P487" s="101" t="s">
        <v>113</v>
      </c>
      <c r="Q487" s="101" t="s">
        <v>113</v>
      </c>
      <c r="R487" s="101" t="s">
        <v>124</v>
      </c>
      <c r="S487" s="101" t="n">
        <v>4</v>
      </c>
      <c r="T487" s="101" t="s">
        <v>479</v>
      </c>
      <c r="U487" s="101" t="s">
        <v>124</v>
      </c>
      <c r="V487" s="101" t="n">
        <v>73.33</v>
      </c>
    </row>
    <row r="488" customFormat="false" ht="15" hidden="false" customHeight="true" outlineLevel="0" collapsed="false">
      <c r="A488" s="101" t="s">
        <v>2185</v>
      </c>
      <c r="B488" s="101" t="s">
        <v>2186</v>
      </c>
      <c r="C488" s="101" t="s">
        <v>707</v>
      </c>
      <c r="D488" s="101" t="s">
        <v>922</v>
      </c>
      <c r="E488" s="101" t="s">
        <v>539</v>
      </c>
      <c r="F488" s="101" t="s">
        <v>501</v>
      </c>
      <c r="G488" s="101" t="s">
        <v>502</v>
      </c>
      <c r="H488" s="101" t="s">
        <v>509</v>
      </c>
      <c r="I488" s="101" t="s">
        <v>345</v>
      </c>
      <c r="J488" s="101" t="s">
        <v>115</v>
      </c>
      <c r="K488" s="101" t="s">
        <v>120</v>
      </c>
      <c r="L488" s="101" t="s">
        <v>812</v>
      </c>
      <c r="M488" s="101" t="n">
        <v>94</v>
      </c>
      <c r="N488" s="101" t="n">
        <v>3.22</v>
      </c>
      <c r="O488" s="101" t="n">
        <v>7.5</v>
      </c>
      <c r="P488" s="101" t="s">
        <v>113</v>
      </c>
      <c r="Q488" s="101" t="s">
        <v>113</v>
      </c>
      <c r="R488" s="101" t="s">
        <v>124</v>
      </c>
      <c r="S488" s="101" t="s">
        <v>486</v>
      </c>
      <c r="T488" s="101" t="s">
        <v>479</v>
      </c>
      <c r="U488" s="101" t="s">
        <v>124</v>
      </c>
      <c r="V488" s="101" t="n">
        <v>114.13</v>
      </c>
    </row>
    <row r="489" customFormat="false" ht="15" hidden="false" customHeight="true" outlineLevel="0" collapsed="false">
      <c r="A489" s="101" t="s">
        <v>2187</v>
      </c>
      <c r="B489" s="101" t="s">
        <v>2188</v>
      </c>
      <c r="C489" s="101" t="s">
        <v>2189</v>
      </c>
      <c r="D489" s="101" t="s">
        <v>2190</v>
      </c>
      <c r="E489" s="101" t="s">
        <v>514</v>
      </c>
      <c r="F489" s="101" t="s">
        <v>545</v>
      </c>
      <c r="G489" s="101" t="s">
        <v>546</v>
      </c>
      <c r="H489" s="101" t="s">
        <v>673</v>
      </c>
      <c r="I489" s="101" t="s">
        <v>645</v>
      </c>
      <c r="J489" s="101" t="s">
        <v>118</v>
      </c>
      <c r="K489" s="101" t="s">
        <v>116</v>
      </c>
      <c r="L489" s="101" t="s">
        <v>2191</v>
      </c>
      <c r="M489" s="101" t="n">
        <v>65</v>
      </c>
      <c r="N489" s="101" t="n">
        <v>2.81</v>
      </c>
      <c r="O489" s="101" t="n">
        <v>16.2</v>
      </c>
      <c r="P489" s="101" t="s">
        <v>113</v>
      </c>
      <c r="Q489" s="101" t="s">
        <v>124</v>
      </c>
      <c r="R489" s="101" t="s">
        <v>124</v>
      </c>
      <c r="S489" s="101" t="n">
        <v>3</v>
      </c>
      <c r="T489" s="101" t="s">
        <v>487</v>
      </c>
      <c r="U489" s="101" t="s">
        <v>124</v>
      </c>
      <c r="V489" s="101" t="n">
        <v>280.22</v>
      </c>
    </row>
    <row r="490" customFormat="false" ht="15" hidden="false" customHeight="true" outlineLevel="0" collapsed="false">
      <c r="A490" s="101" t="s">
        <v>2192</v>
      </c>
      <c r="B490" s="101" t="s">
        <v>2193</v>
      </c>
      <c r="C490" s="101" t="s">
        <v>2194</v>
      </c>
      <c r="D490" s="101" t="s">
        <v>833</v>
      </c>
      <c r="E490" s="101" t="s">
        <v>539</v>
      </c>
      <c r="F490" s="101" t="s">
        <v>559</v>
      </c>
      <c r="G490" s="101" t="s">
        <v>560</v>
      </c>
      <c r="H490" s="101" t="s">
        <v>476</v>
      </c>
      <c r="I490" s="101" t="s">
        <v>477</v>
      </c>
      <c r="J490" s="101" t="s">
        <v>118</v>
      </c>
      <c r="K490" s="101" t="s">
        <v>120</v>
      </c>
      <c r="L490" s="101" t="s">
        <v>1183</v>
      </c>
      <c r="M490" s="101" t="n">
        <v>96</v>
      </c>
      <c r="N490" s="101" t="n">
        <v>10.68</v>
      </c>
      <c r="O490" s="101" t="n">
        <v>23.22</v>
      </c>
      <c r="P490" s="101" t="s">
        <v>113</v>
      </c>
      <c r="Q490" s="101" t="s">
        <v>113</v>
      </c>
      <c r="R490" s="101" t="s">
        <v>124</v>
      </c>
      <c r="S490" s="101" t="n">
        <v>4</v>
      </c>
      <c r="T490" s="101" t="s">
        <v>479</v>
      </c>
      <c r="U490" s="101" t="s">
        <v>124</v>
      </c>
      <c r="V490" s="101" t="n">
        <v>401.64</v>
      </c>
    </row>
    <row r="491" customFormat="false" ht="15" hidden="false" customHeight="true" outlineLevel="0" collapsed="false">
      <c r="A491" s="101" t="s">
        <v>2195</v>
      </c>
      <c r="B491" s="101" t="s">
        <v>2196</v>
      </c>
      <c r="C491" s="101" t="s">
        <v>1247</v>
      </c>
      <c r="D491" s="101" t="s">
        <v>2197</v>
      </c>
      <c r="E491" s="101" t="s">
        <v>491</v>
      </c>
      <c r="F491" s="101" t="s">
        <v>515</v>
      </c>
      <c r="G491" s="101" t="s">
        <v>516</v>
      </c>
      <c r="H491" s="101" t="s">
        <v>509</v>
      </c>
      <c r="I491" s="101" t="s">
        <v>345</v>
      </c>
      <c r="J491" s="101" t="s">
        <v>118</v>
      </c>
      <c r="K491" s="101" t="s">
        <v>199</v>
      </c>
      <c r="L491" s="101" t="s">
        <v>795</v>
      </c>
      <c r="M491" s="101" t="n">
        <v>116</v>
      </c>
      <c r="N491" s="101" t="n">
        <v>0.69</v>
      </c>
      <c r="O491" s="101" t="n">
        <v>11.8</v>
      </c>
      <c r="P491" s="101" t="s">
        <v>113</v>
      </c>
      <c r="Q491" s="101" t="s">
        <v>124</v>
      </c>
      <c r="R491" s="101" t="s">
        <v>124</v>
      </c>
      <c r="S491" s="101" t="n">
        <v>4</v>
      </c>
      <c r="T491" s="101" t="s">
        <v>479</v>
      </c>
      <c r="U491" s="101" t="s">
        <v>124</v>
      </c>
      <c r="V491" s="101" t="n">
        <v>204.11</v>
      </c>
    </row>
    <row r="492" customFormat="false" ht="15" hidden="false" customHeight="true" outlineLevel="0" collapsed="false">
      <c r="A492" s="101" t="s">
        <v>2198</v>
      </c>
      <c r="B492" s="101" t="s">
        <v>2199</v>
      </c>
      <c r="C492" s="101" t="s">
        <v>2200</v>
      </c>
      <c r="D492" s="101" t="s">
        <v>1669</v>
      </c>
      <c r="E492" s="101" t="s">
        <v>500</v>
      </c>
      <c r="F492" s="101" t="s">
        <v>530</v>
      </c>
      <c r="G492" s="101" t="s">
        <v>516</v>
      </c>
      <c r="H492" s="101" t="s">
        <v>476</v>
      </c>
      <c r="I492" s="101" t="s">
        <v>477</v>
      </c>
      <c r="J492" s="101" t="s">
        <v>115</v>
      </c>
      <c r="K492" s="101" t="s">
        <v>116</v>
      </c>
      <c r="L492" s="101" t="s">
        <v>959</v>
      </c>
      <c r="M492" s="101" t="n">
        <v>76</v>
      </c>
      <c r="N492" s="101" t="n">
        <v>22.67</v>
      </c>
      <c r="O492" s="101" t="n">
        <v>12.015</v>
      </c>
      <c r="P492" s="101" t="s">
        <v>113</v>
      </c>
      <c r="Q492" s="101" t="s">
        <v>113</v>
      </c>
      <c r="R492" s="101" t="s">
        <v>124</v>
      </c>
      <c r="S492" s="101" t="s">
        <v>486</v>
      </c>
      <c r="T492" s="101" t="s">
        <v>479</v>
      </c>
      <c r="U492" s="101" t="s">
        <v>124</v>
      </c>
      <c r="V492" s="101" t="n">
        <v>182.84</v>
      </c>
    </row>
    <row r="493" customFormat="false" ht="15" hidden="false" customHeight="true" outlineLevel="0" collapsed="false">
      <c r="A493" s="101" t="s">
        <v>2201</v>
      </c>
      <c r="B493" s="101" t="s">
        <v>2202</v>
      </c>
      <c r="C493" s="101" t="s">
        <v>2203</v>
      </c>
      <c r="D493" s="101" t="s">
        <v>1382</v>
      </c>
      <c r="E493" s="101" t="s">
        <v>500</v>
      </c>
      <c r="F493" s="101" t="s">
        <v>492</v>
      </c>
      <c r="G493" s="101" t="s">
        <v>475</v>
      </c>
      <c r="H493" s="101" t="s">
        <v>484</v>
      </c>
      <c r="I493" s="101" t="s">
        <v>345</v>
      </c>
      <c r="J493" s="101" t="s">
        <v>115</v>
      </c>
      <c r="K493" s="101" t="s">
        <v>116</v>
      </c>
      <c r="L493" s="101" t="s">
        <v>1311</v>
      </c>
      <c r="M493" s="101" t="n">
        <v>130</v>
      </c>
      <c r="N493" s="101" t="n">
        <v>5.72</v>
      </c>
      <c r="O493" s="101" t="n">
        <v>9.585</v>
      </c>
      <c r="P493" s="101" t="s">
        <v>113</v>
      </c>
      <c r="Q493" s="101" t="s">
        <v>113</v>
      </c>
      <c r="R493" s="101" t="s">
        <v>124</v>
      </c>
      <c r="S493" s="101" t="s">
        <v>486</v>
      </c>
      <c r="T493" s="101" t="s">
        <v>479</v>
      </c>
      <c r="U493" s="101" t="s">
        <v>124</v>
      </c>
      <c r="V493" s="101" t="n">
        <v>145.86</v>
      </c>
    </row>
    <row r="494" customFormat="false" ht="15" hidden="false" customHeight="true" outlineLevel="0" collapsed="false">
      <c r="A494" s="101" t="s">
        <v>2204</v>
      </c>
      <c r="B494" s="101" t="s">
        <v>2205</v>
      </c>
      <c r="C494" s="101" t="s">
        <v>1584</v>
      </c>
      <c r="D494" s="101" t="s">
        <v>1594</v>
      </c>
      <c r="E494" s="101" t="s">
        <v>500</v>
      </c>
      <c r="F494" s="101" t="s">
        <v>474</v>
      </c>
      <c r="G494" s="101" t="s">
        <v>475</v>
      </c>
      <c r="H494" s="101" t="s">
        <v>592</v>
      </c>
      <c r="I494" s="101" t="s">
        <v>593</v>
      </c>
      <c r="J494" s="101" t="s">
        <v>111</v>
      </c>
      <c r="K494" s="101" t="s">
        <v>199</v>
      </c>
      <c r="L494" s="101" t="s">
        <v>2206</v>
      </c>
      <c r="M494" s="101" t="n">
        <v>747</v>
      </c>
      <c r="N494" s="101" t="n">
        <v>4.3</v>
      </c>
      <c r="O494" s="101" t="n">
        <v>10.5</v>
      </c>
      <c r="P494" s="101" t="s">
        <v>113</v>
      </c>
      <c r="Q494" s="101" t="s">
        <v>113</v>
      </c>
      <c r="R494" s="101" t="s">
        <v>124</v>
      </c>
      <c r="S494" s="101" t="n">
        <v>4</v>
      </c>
      <c r="T494" s="101" t="s">
        <v>479</v>
      </c>
      <c r="U494" s="101" t="s">
        <v>124</v>
      </c>
      <c r="V494" s="101" t="n">
        <v>148.08</v>
      </c>
    </row>
    <row r="495" customFormat="false" ht="15" hidden="false" customHeight="true" outlineLevel="0" collapsed="false">
      <c r="A495" s="101" t="s">
        <v>2207</v>
      </c>
      <c r="B495" s="101" t="s">
        <v>2208</v>
      </c>
      <c r="C495" s="101" t="s">
        <v>2209</v>
      </c>
      <c r="D495" s="101" t="s">
        <v>2210</v>
      </c>
      <c r="E495" s="101" t="s">
        <v>514</v>
      </c>
      <c r="F495" s="101" t="s">
        <v>501</v>
      </c>
      <c r="G495" s="101" t="s">
        <v>502</v>
      </c>
      <c r="H495" s="101" t="s">
        <v>476</v>
      </c>
      <c r="I495" s="101" t="s">
        <v>477</v>
      </c>
      <c r="J495" s="101" t="s">
        <v>123</v>
      </c>
      <c r="K495" s="101" t="s">
        <v>120</v>
      </c>
      <c r="L495" s="101" t="s">
        <v>571</v>
      </c>
      <c r="M495" s="101" t="n">
        <v>9468</v>
      </c>
      <c r="N495" s="101" t="n">
        <v>6.3</v>
      </c>
      <c r="O495" s="101" t="n">
        <v>32.535</v>
      </c>
      <c r="P495" s="101" t="s">
        <v>113</v>
      </c>
      <c r="Q495" s="101" t="s">
        <v>113</v>
      </c>
      <c r="R495" s="101" t="s">
        <v>124</v>
      </c>
      <c r="S495" s="101" t="n">
        <v>5</v>
      </c>
      <c r="T495" s="101" t="s">
        <v>496</v>
      </c>
      <c r="U495" s="101" t="s">
        <v>124</v>
      </c>
      <c r="V495" s="101" t="n">
        <v>244.01</v>
      </c>
    </row>
    <row r="496" customFormat="false" ht="15" hidden="false" customHeight="true" outlineLevel="0" collapsed="false">
      <c r="A496" s="101" t="s">
        <v>2211</v>
      </c>
      <c r="B496" s="101" t="s">
        <v>2212</v>
      </c>
      <c r="C496" s="101" t="s">
        <v>2213</v>
      </c>
      <c r="D496" s="101" t="s">
        <v>803</v>
      </c>
      <c r="E496" s="101" t="s">
        <v>539</v>
      </c>
      <c r="F496" s="101" t="s">
        <v>515</v>
      </c>
      <c r="G496" s="101" t="s">
        <v>516</v>
      </c>
      <c r="H496" s="101" t="s">
        <v>476</v>
      </c>
      <c r="I496" s="101" t="s">
        <v>477</v>
      </c>
      <c r="J496" s="101" t="s">
        <v>111</v>
      </c>
      <c r="K496" s="101" t="s">
        <v>112</v>
      </c>
      <c r="L496" s="101" t="s">
        <v>1071</v>
      </c>
      <c r="M496" s="101" t="n">
        <v>229</v>
      </c>
      <c r="N496" s="101" t="n">
        <v>6.51</v>
      </c>
      <c r="O496" s="101" t="n">
        <v>20.79</v>
      </c>
      <c r="P496" s="101" t="s">
        <v>113</v>
      </c>
      <c r="Q496" s="101" t="s">
        <v>113</v>
      </c>
      <c r="R496" s="101" t="s">
        <v>124</v>
      </c>
      <c r="S496" s="101" t="n">
        <v>3</v>
      </c>
      <c r="T496" s="101" t="s">
        <v>487</v>
      </c>
      <c r="U496" s="101" t="s">
        <v>124</v>
      </c>
      <c r="V496" s="101" t="n">
        <v>293.19</v>
      </c>
    </row>
    <row r="497" customFormat="false" ht="15" hidden="false" customHeight="true" outlineLevel="0" collapsed="false">
      <c r="A497" s="101" t="s">
        <v>2214</v>
      </c>
      <c r="B497" s="101" t="s">
        <v>2215</v>
      </c>
      <c r="C497" s="101" t="s">
        <v>1111</v>
      </c>
      <c r="D497" s="101" t="s">
        <v>922</v>
      </c>
      <c r="E497" s="101" t="s">
        <v>539</v>
      </c>
      <c r="F497" s="101" t="s">
        <v>545</v>
      </c>
      <c r="G497" s="101" t="s">
        <v>546</v>
      </c>
      <c r="H497" s="101" t="s">
        <v>476</v>
      </c>
      <c r="I497" s="101" t="s">
        <v>477</v>
      </c>
      <c r="J497" s="101" t="s">
        <v>115</v>
      </c>
      <c r="K497" s="101" t="s">
        <v>116</v>
      </c>
      <c r="L497" s="101" t="s">
        <v>1311</v>
      </c>
      <c r="M497" s="101" t="n">
        <v>102</v>
      </c>
      <c r="N497" s="101" t="n">
        <v>7.69</v>
      </c>
      <c r="O497" s="101" t="n">
        <v>6.615</v>
      </c>
      <c r="P497" s="101" t="s">
        <v>113</v>
      </c>
      <c r="Q497" s="101" t="s">
        <v>124</v>
      </c>
      <c r="R497" s="101" t="s">
        <v>113</v>
      </c>
      <c r="S497" s="101" t="n">
        <v>3</v>
      </c>
      <c r="T497" s="101" t="s">
        <v>487</v>
      </c>
      <c r="U497" s="101" t="s">
        <v>124</v>
      </c>
      <c r="V497" s="101" t="n">
        <v>100.66</v>
      </c>
    </row>
    <row r="498" customFormat="false" ht="15" hidden="false" customHeight="true" outlineLevel="0" collapsed="false">
      <c r="A498" s="101" t="s">
        <v>2216</v>
      </c>
      <c r="B498" s="101" t="s">
        <v>2217</v>
      </c>
      <c r="C498" s="101" t="s">
        <v>748</v>
      </c>
      <c r="D498" s="101" t="s">
        <v>2218</v>
      </c>
      <c r="E498" s="101" t="s">
        <v>491</v>
      </c>
      <c r="F498" s="101" t="s">
        <v>501</v>
      </c>
      <c r="G498" s="101" t="s">
        <v>502</v>
      </c>
      <c r="H498" s="101" t="s">
        <v>493</v>
      </c>
      <c r="I498" s="101" t="s">
        <v>494</v>
      </c>
      <c r="J498" s="101" t="s">
        <v>118</v>
      </c>
      <c r="K498" s="101" t="s">
        <v>112</v>
      </c>
      <c r="L498" s="101" t="s">
        <v>1155</v>
      </c>
      <c r="M498" s="101" t="n">
        <v>90</v>
      </c>
      <c r="N498" s="101" t="n">
        <v>1.91</v>
      </c>
      <c r="O498" s="101" t="n">
        <v>14.45</v>
      </c>
      <c r="P498" s="101" t="s">
        <v>113</v>
      </c>
      <c r="Q498" s="101" t="s">
        <v>124</v>
      </c>
      <c r="R498" s="101" t="s">
        <v>113</v>
      </c>
      <c r="S498" s="101" t="n">
        <v>3</v>
      </c>
      <c r="T498" s="101" t="s">
        <v>487</v>
      </c>
      <c r="U498" s="101" t="s">
        <v>124</v>
      </c>
      <c r="V498" s="101" t="n">
        <v>249.95</v>
      </c>
    </row>
    <row r="499" customFormat="false" ht="15" hidden="false" customHeight="true" outlineLevel="0" collapsed="false">
      <c r="A499" s="101" t="s">
        <v>2219</v>
      </c>
      <c r="B499" s="101" t="s">
        <v>2220</v>
      </c>
      <c r="C499" s="101" t="s">
        <v>2221</v>
      </c>
      <c r="D499" s="101" t="s">
        <v>993</v>
      </c>
      <c r="E499" s="101" t="s">
        <v>539</v>
      </c>
      <c r="F499" s="101" t="s">
        <v>545</v>
      </c>
      <c r="G499" s="101" t="s">
        <v>546</v>
      </c>
      <c r="H499" s="101" t="s">
        <v>509</v>
      </c>
      <c r="I499" s="101" t="s">
        <v>345</v>
      </c>
      <c r="J499" s="101" t="s">
        <v>111</v>
      </c>
      <c r="K499" s="101" t="s">
        <v>120</v>
      </c>
      <c r="L499" s="101" t="s">
        <v>1261</v>
      </c>
      <c r="M499" s="101" t="n">
        <v>837</v>
      </c>
      <c r="N499" s="101" t="n">
        <v>2.25</v>
      </c>
      <c r="O499" s="101" t="n">
        <v>3.9</v>
      </c>
      <c r="P499" s="101" t="s">
        <v>113</v>
      </c>
      <c r="Q499" s="101" t="s">
        <v>113</v>
      </c>
      <c r="R499" s="101" t="s">
        <v>124</v>
      </c>
      <c r="S499" s="101" t="n">
        <v>3</v>
      </c>
      <c r="T499" s="101" t="s">
        <v>487</v>
      </c>
      <c r="U499" s="101" t="s">
        <v>124</v>
      </c>
      <c r="V499" s="101" t="n">
        <v>55</v>
      </c>
    </row>
    <row r="500" customFormat="false" ht="15" hidden="false" customHeight="true" outlineLevel="0" collapsed="false">
      <c r="A500" s="101" t="s">
        <v>2222</v>
      </c>
      <c r="B500" s="101" t="s">
        <v>2223</v>
      </c>
      <c r="C500" s="101" t="s">
        <v>2224</v>
      </c>
      <c r="D500" s="101" t="s">
        <v>1386</v>
      </c>
      <c r="E500" s="101" t="s">
        <v>500</v>
      </c>
      <c r="F500" s="101" t="s">
        <v>474</v>
      </c>
      <c r="G500" s="101" t="s">
        <v>475</v>
      </c>
      <c r="H500" s="101" t="s">
        <v>493</v>
      </c>
      <c r="I500" s="101" t="s">
        <v>494</v>
      </c>
      <c r="J500" s="101" t="s">
        <v>115</v>
      </c>
      <c r="K500" s="101" t="s">
        <v>116</v>
      </c>
      <c r="L500" s="101" t="s">
        <v>2225</v>
      </c>
      <c r="M500" s="101" t="n">
        <v>54</v>
      </c>
      <c r="N500" s="101" t="n">
        <v>9.39</v>
      </c>
      <c r="O500" s="101" t="n">
        <v>3.74</v>
      </c>
      <c r="P500" s="101" t="s">
        <v>113</v>
      </c>
      <c r="Q500" s="101" t="s">
        <v>124</v>
      </c>
      <c r="R500" s="101" t="s">
        <v>113</v>
      </c>
      <c r="S500" s="101" t="n">
        <v>4</v>
      </c>
      <c r="T500" s="101" t="s">
        <v>479</v>
      </c>
      <c r="U500" s="101" t="s">
        <v>124</v>
      </c>
      <c r="V500" s="101" t="n">
        <v>56.91</v>
      </c>
    </row>
    <row r="501" customFormat="false" ht="15" hidden="false" customHeight="true" outlineLevel="0" collapsed="false">
      <c r="A501" s="101" t="s">
        <v>2226</v>
      </c>
      <c r="B501" s="101" t="s">
        <v>2227</v>
      </c>
      <c r="C501" s="101" t="s">
        <v>1310</v>
      </c>
      <c r="D501" s="101" t="s">
        <v>930</v>
      </c>
      <c r="E501" s="101" t="s">
        <v>514</v>
      </c>
      <c r="F501" s="101" t="s">
        <v>474</v>
      </c>
      <c r="G501" s="101" t="s">
        <v>475</v>
      </c>
      <c r="H501" s="101" t="s">
        <v>673</v>
      </c>
      <c r="I501" s="101" t="s">
        <v>645</v>
      </c>
      <c r="J501" s="101" t="s">
        <v>118</v>
      </c>
      <c r="K501" s="101" t="s">
        <v>120</v>
      </c>
      <c r="L501" s="101" t="s">
        <v>964</v>
      </c>
      <c r="M501" s="101" t="n">
        <v>100</v>
      </c>
      <c r="N501" s="101" t="n">
        <v>1.82</v>
      </c>
      <c r="O501" s="101" t="n">
        <v>33.1</v>
      </c>
      <c r="P501" s="101" t="s">
        <v>113</v>
      </c>
      <c r="Q501" s="101" t="s">
        <v>113</v>
      </c>
      <c r="R501" s="101" t="s">
        <v>124</v>
      </c>
      <c r="S501" s="101" t="s">
        <v>486</v>
      </c>
      <c r="T501" s="101" t="s">
        <v>487</v>
      </c>
      <c r="U501" s="101" t="s">
        <v>124</v>
      </c>
      <c r="V501" s="101" t="n">
        <v>572.54</v>
      </c>
    </row>
    <row r="502" customFormat="false" ht="15" hidden="false" customHeight="true" outlineLevel="0" collapsed="false">
      <c r="A502" s="101" t="s">
        <v>2228</v>
      </c>
      <c r="B502" s="101" t="s">
        <v>2229</v>
      </c>
      <c r="C502" s="101" t="s">
        <v>1151</v>
      </c>
      <c r="D502" s="101" t="s">
        <v>534</v>
      </c>
      <c r="E502" s="101" t="s">
        <v>491</v>
      </c>
      <c r="F502" s="101" t="s">
        <v>515</v>
      </c>
      <c r="G502" s="101" t="s">
        <v>516</v>
      </c>
      <c r="H502" s="101" t="s">
        <v>727</v>
      </c>
      <c r="I502" s="101" t="s">
        <v>645</v>
      </c>
      <c r="J502" s="101" t="s">
        <v>115</v>
      </c>
      <c r="K502" s="101" t="s">
        <v>112</v>
      </c>
      <c r="L502" s="101" t="s">
        <v>478</v>
      </c>
      <c r="M502" s="101" t="n">
        <v>293</v>
      </c>
      <c r="N502" s="101" t="n">
        <v>0.82</v>
      </c>
      <c r="O502" s="101" t="n">
        <v>23.4</v>
      </c>
      <c r="P502" s="101" t="s">
        <v>113</v>
      </c>
      <c r="Q502" s="101" t="s">
        <v>113</v>
      </c>
      <c r="R502" s="101" t="s">
        <v>124</v>
      </c>
      <c r="S502" s="101" t="n">
        <v>3</v>
      </c>
      <c r="T502" s="101" t="s">
        <v>487</v>
      </c>
      <c r="U502" s="101" t="s">
        <v>124</v>
      </c>
      <c r="V502" s="101" t="n">
        <v>356.09</v>
      </c>
    </row>
    <row r="503" customFormat="false" ht="15" hidden="false" customHeight="true" outlineLevel="0" collapsed="false">
      <c r="A503" s="101" t="s">
        <v>2230</v>
      </c>
      <c r="B503" s="101" t="s">
        <v>2231</v>
      </c>
      <c r="C503" s="101" t="s">
        <v>2232</v>
      </c>
      <c r="D503" s="101" t="s">
        <v>1576</v>
      </c>
      <c r="E503" s="101" t="s">
        <v>507</v>
      </c>
      <c r="F503" s="101" t="s">
        <v>492</v>
      </c>
      <c r="G503" s="101" t="s">
        <v>475</v>
      </c>
      <c r="H503" s="101" t="s">
        <v>484</v>
      </c>
      <c r="I503" s="101" t="s">
        <v>345</v>
      </c>
      <c r="J503" s="101" t="s">
        <v>123</v>
      </c>
      <c r="K503" s="101" t="s">
        <v>194</v>
      </c>
      <c r="L503" s="101" t="s">
        <v>2233</v>
      </c>
      <c r="M503" s="101" t="s">
        <v>486</v>
      </c>
      <c r="N503" s="101" t="n">
        <v>4.31</v>
      </c>
      <c r="O503" s="101" t="n">
        <v>30.51</v>
      </c>
      <c r="P503" s="101" t="s">
        <v>113</v>
      </c>
      <c r="Q503" s="101" t="s">
        <v>113</v>
      </c>
      <c r="R503" s="101" t="s">
        <v>124</v>
      </c>
      <c r="S503" s="101" t="n">
        <v>3</v>
      </c>
      <c r="T503" s="101" t="s">
        <v>487</v>
      </c>
      <c r="U503" s="101" t="s">
        <v>124</v>
      </c>
      <c r="V503" s="101" t="n">
        <v>228.83</v>
      </c>
    </row>
    <row r="504" customFormat="false" ht="15" hidden="false" customHeight="true" outlineLevel="0" collapsed="false">
      <c r="A504" s="101" t="s">
        <v>2234</v>
      </c>
      <c r="B504" s="101" t="s">
        <v>2235</v>
      </c>
      <c r="C504" s="101" t="s">
        <v>2236</v>
      </c>
      <c r="D504" s="101" t="s">
        <v>1260</v>
      </c>
      <c r="E504" s="101" t="s">
        <v>514</v>
      </c>
      <c r="F504" s="101" t="s">
        <v>474</v>
      </c>
      <c r="G504" s="101" t="s">
        <v>475</v>
      </c>
      <c r="H504" s="101" t="s">
        <v>673</v>
      </c>
      <c r="I504" s="101" t="s">
        <v>645</v>
      </c>
      <c r="J504" s="101" t="s">
        <v>115</v>
      </c>
      <c r="K504" s="101" t="s">
        <v>120</v>
      </c>
      <c r="L504" s="101" t="s">
        <v>690</v>
      </c>
      <c r="M504" s="101" t="n">
        <v>70</v>
      </c>
      <c r="N504" s="101" t="n">
        <v>7.69</v>
      </c>
      <c r="O504" s="101" t="n">
        <v>8.2</v>
      </c>
      <c r="P504" s="101" t="s">
        <v>113</v>
      </c>
      <c r="Q504" s="101" t="s">
        <v>124</v>
      </c>
      <c r="R504" s="101" t="s">
        <v>124</v>
      </c>
      <c r="S504" s="101" t="n">
        <v>5</v>
      </c>
      <c r="T504" s="101" t="s">
        <v>496</v>
      </c>
      <c r="U504" s="101" t="s">
        <v>124</v>
      </c>
      <c r="V504" s="101" t="n">
        <v>124.78</v>
      </c>
    </row>
    <row r="505" customFormat="false" ht="15" hidden="false" customHeight="true" outlineLevel="0" collapsed="false">
      <c r="A505" s="101" t="s">
        <v>2237</v>
      </c>
      <c r="B505" s="101" t="s">
        <v>2238</v>
      </c>
      <c r="C505" s="101" t="s">
        <v>2239</v>
      </c>
      <c r="D505" s="101" t="s">
        <v>2240</v>
      </c>
      <c r="E505" s="101" t="s">
        <v>514</v>
      </c>
      <c r="F505" s="101" t="s">
        <v>501</v>
      </c>
      <c r="G505" s="101" t="s">
        <v>502</v>
      </c>
      <c r="H505" s="101" t="s">
        <v>561</v>
      </c>
      <c r="I505" s="101" t="s">
        <v>345</v>
      </c>
      <c r="J505" s="101" t="s">
        <v>118</v>
      </c>
      <c r="K505" s="101" t="s">
        <v>120</v>
      </c>
      <c r="L505" s="101" t="s">
        <v>1237</v>
      </c>
      <c r="M505" s="101" t="n">
        <v>69</v>
      </c>
      <c r="N505" s="101" t="n">
        <v>0.92</v>
      </c>
      <c r="O505" s="101" t="n">
        <v>42.5</v>
      </c>
      <c r="P505" s="101" t="s">
        <v>113</v>
      </c>
      <c r="Q505" s="101" t="s">
        <v>113</v>
      </c>
      <c r="R505" s="101" t="s">
        <v>124</v>
      </c>
      <c r="S505" s="101" t="n">
        <v>5</v>
      </c>
      <c r="T505" s="101" t="s">
        <v>496</v>
      </c>
      <c r="U505" s="101" t="s">
        <v>124</v>
      </c>
      <c r="V505" s="101" t="n">
        <v>735.14</v>
      </c>
    </row>
    <row r="507" customFormat="false" ht="15" hidden="false" customHeight="true" outlineLevel="0" collapsed="false">
      <c r="A507" s="103" t="s">
        <v>2241</v>
      </c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</row>
  </sheetData>
  <mergeCells count="1">
    <mergeCell ref="A507:V5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2026-05-05T05:04:53Z</dcterms:created>
  <dc:creator>openpyxl</dc:creator>
  <dc:description/>
  <dc:language>en-US</dc:language>
  <cp:lastModifiedBy/>
  <dcterms:modified xsi:type="dcterms:W3CDTF">2026-05-05T05:06:21Z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